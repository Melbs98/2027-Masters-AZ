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raft_Import" sheetId="2" state="visible" r:id="rId2"/>
    <sheet xmlns:r="http://schemas.openxmlformats.org/officeDocument/2006/relationships" name="Draft_Helper" sheetId="3" state="hidden" r:id="rId3"/>
    <sheet xmlns:r="http://schemas.openxmlformats.org/officeDocument/2006/relationships" name="Team_Scoring" sheetId="4" state="visible" r:id="rId4"/>
    <sheet xmlns:r="http://schemas.openxmlformats.org/officeDocument/2006/relationships" name="Team_Summary" sheetId="5" state="visible" r:id="rId5"/>
    <sheet xmlns:r="http://schemas.openxmlformats.org/officeDocument/2006/relationships" name="Drafted Teams" sheetId="6" state="visible" r:id="rId6"/>
    <sheet xmlns:r="http://schemas.openxmlformats.org/officeDocument/2006/relationships" name="Scores" sheetId="7" state="visible" r:id="rId7"/>
  </sheets>
  <definedNames>
    <definedName name="ExternalData_1" localSheetId="6" hidden="1">Scores!$A$1:$K$92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+0;\-0;0"/>
  </numFmts>
  <fonts count="13">
    <font>
      <name val="Calibri"/>
      <family val="2"/>
      <color theme="1"/>
      <sz val="11"/>
      <scheme val="minor"/>
    </font>
    <font>
      <name val="Calibri"/>
      <family val="2"/>
      <b val="1"/>
      <sz val="16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b val="1"/>
      <sz val="12"/>
    </font>
    <font>
      <name val="Calibri"/>
      <family val="2"/>
      <color rgb="FF0000FF"/>
      <sz val="11"/>
    </font>
    <font>
      <name val="Calibri"/>
      <family val="2"/>
      <color rgb="FF008000"/>
      <sz val="11"/>
    </font>
    <font>
      <name val="Calibri"/>
      <family val="2"/>
      <color rgb="FF000000"/>
      <sz val="11"/>
    </font>
    <font>
      <name val="Calibri"/>
      <family val="2"/>
      <color theme="1"/>
      <sz val="11"/>
    </font>
    <font>
      <name val="Calibri"/>
      <family val="2"/>
      <color rgb="FF000000"/>
      <sz val="20"/>
    </font>
    <font>
      <name val="Calibri"/>
      <family val="2"/>
      <sz val="8"/>
      <scheme val="minor"/>
    </font>
    <font>
      <name val="Calibri"/>
      <family val="2"/>
      <b val="1"/>
      <color rgb="FF000000"/>
      <sz val="22"/>
    </font>
    <font>
      <name val="Calibri"/>
      <family val="2"/>
      <color rgb="FF000000"/>
      <sz val="18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D9EAF7"/>
      </patternFill>
    </fill>
    <fill>
      <patternFill patternType="solid">
        <fgColor rgb="FFEAF2FF"/>
      </patternFill>
    </fill>
    <fill>
      <patternFill patternType="solid">
        <fgColor rgb="FFE2F0D9"/>
      </patternFill>
    </fill>
    <fill>
      <patternFill patternType="solid">
        <fgColor rgb="FFD9F0F0"/>
      </patternFill>
    </fill>
  </fills>
  <borders count="8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5" fillId="5" borderId="0" pivotButton="0" quotePrefix="0" xfId="0"/>
    <xf numFmtId="0" fontId="3" fillId="4" borderId="0" applyAlignment="1" pivotButton="0" quotePrefix="0" xfId="0">
      <alignment horizontal="center"/>
    </xf>
    <xf numFmtId="0" fontId="6" fillId="0" borderId="1" pivotButton="0" quotePrefix="0" xfId="0"/>
    <xf numFmtId="0" fontId="5" fillId="5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164" fontId="3" fillId="6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0" borderId="0" pivotButton="0" quotePrefix="0" xfId="0"/>
    <xf numFmtId="0" fontId="9" fillId="0" borderId="2" pivotButton="0" quotePrefix="0" xfId="0"/>
    <xf numFmtId="0" fontId="8" fillId="0" borderId="5" pivotButton="0" quotePrefix="0" xfId="0"/>
    <xf numFmtId="0" fontId="8" fillId="0" borderId="6" pivotButton="0" quotePrefix="0" xfId="0"/>
    <xf numFmtId="0" fontId="8" fillId="0" borderId="7" pivotButton="0" quotePrefix="0" xfId="0"/>
    <xf numFmtId="0" fontId="0" fillId="0" borderId="5" pivotButton="0" quotePrefix="0" xfId="0"/>
    <xf numFmtId="0" fontId="0" fillId="0" borderId="0" pivotButton="0" quotePrefix="0" xfId="0"/>
    <xf numFmtId="0" fontId="0" fillId="0" borderId="0" pivotButton="0" quotePrefix="0" xfId="0"/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2" fillId="0" borderId="2" pivotButton="0" quotePrefix="0" xfId="0"/>
    <xf numFmtId="0" fontId="3" fillId="6" borderId="0" pivotButton="0" quotePrefix="0" xfId="0"/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0" fillId="7" borderId="0" applyAlignment="1" pivotButton="0" quotePrefix="0" xfId="0">
      <alignment vertical="center" wrapText="1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able_1" displayName="Table_1" ref="A1:K92" tableType="queryTable" headerRowCount="1" totalsRowShown="0">
  <autoFilter ref="A1:K92"/>
  <tableColumns count="11">
    <tableColumn id="1" uniqueName="1" name="Column1" queryTableFieldId="1" dataDxfId="10"/>
    <tableColumn id="2" uniqueName="2" name="POS" queryTableFieldId="2" dataDxfId="9"/>
    <tableColumn id="3" uniqueName="3" name="PLAYER" queryTableFieldId="3" dataDxfId="8"/>
    <tableColumn id="4" uniqueName="4" name="SCORE" queryTableFieldId="4" dataDxfId="7"/>
    <tableColumn id="10" uniqueName="10" name="TODAY" queryTableFieldId="12" dataDxfId="6"/>
    <tableColumn id="11" uniqueName="11" name="THRU" queryTableFieldId="13" dataDxfId="5"/>
    <tableColumn id="5" uniqueName="5" name="R1" queryTableFieldId="5" dataDxfId="4"/>
    <tableColumn id="6" uniqueName="6" name="R2" queryTableFieldId="6" dataDxfId="3"/>
    <tableColumn id="7" uniqueName="7" name="R3" queryTableFieldId="7" dataDxfId="2"/>
    <tableColumn id="8" uniqueName="8" name="R4" queryTableFieldId="8" dataDxfId="1"/>
    <tableColumn id="9" uniqueName="9" name="TOT" queryTableFieldId="9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B18"/>
  <sheetViews>
    <sheetView showGridLines="0" workbookViewId="0">
      <selection activeCell="B9" sqref="B9"/>
    </sheetView>
  </sheetViews>
  <sheetFormatPr baseColWidth="8" defaultRowHeight="15"/>
  <cols>
    <col width="12" customWidth="1" style="28" min="1" max="1"/>
    <col width="110" customWidth="1" style="28" min="2" max="2"/>
  </cols>
  <sheetData>
    <row r="1" ht="21" customHeight="1" s="28">
      <c r="A1" s="1" t="inlineStr">
        <is>
          <t>Masters Draft Scoring Workbook</t>
        </is>
      </c>
    </row>
    <row r="3">
      <c r="A3" s="29" t="inlineStr">
        <is>
          <t>Step</t>
        </is>
      </c>
      <c r="B3" s="29" t="inlineStr">
        <is>
          <t>What to do</t>
        </is>
      </c>
    </row>
    <row r="4">
      <c r="A4" s="3" t="n">
        <v>1</v>
      </c>
      <c r="B4" s="4" t="inlineStr">
        <is>
          <t>From your draft webpage, export the finished draft board to CSV.</t>
        </is>
      </c>
    </row>
    <row r="5" ht="30" customHeight="1" s="28">
      <c r="A5" s="3" t="n">
        <v>2</v>
      </c>
      <c r="B5" s="4" t="inlineStr">
        <is>
          <t>Open the CSV, copy everything, and paste it into the Draft_Import sheet starting in cell A1. You can paste the header row too.</t>
        </is>
      </c>
    </row>
    <row r="6" ht="30" customHeight="1" s="28">
      <c r="A6" s="3" t="n">
        <v>3</v>
      </c>
      <c r="B6" s="4" t="inlineStr">
        <is>
          <t>Go to the Team_Scoring sheet. Each team roster will fill in automatically based on the Team and Player columns from the pasted draft.</t>
        </is>
      </c>
    </row>
    <row r="7">
      <c r="A7" s="3" t="n">
        <v>5</v>
      </c>
      <c r="B7" s="4" t="inlineStr">
        <is>
          <t>The Numeric column converts E or (E) into 0 automatically.</t>
        </is>
      </c>
    </row>
    <row r="8">
      <c r="A8" s="3" t="n">
        <v>6</v>
      </c>
      <c r="B8" s="4" t="inlineStr">
        <is>
          <t>On Team Scoring - Each team's Best 4 Total adds the four lowest numeric scores currently entered for that team.</t>
        </is>
      </c>
    </row>
    <row r="9">
      <c r="A9" s="3" t="n">
        <v>7</v>
      </c>
      <c r="B9" s="4" t="inlineStr">
        <is>
          <t>The Team_Summary sheet shows every team's live total in one place.</t>
        </is>
      </c>
    </row>
    <row r="12" ht="15.75" customHeight="1" s="28">
      <c r="A12" s="5" t="inlineStr">
        <is>
          <t>Examples</t>
        </is>
      </c>
    </row>
    <row r="13">
      <c r="A13" s="6" t="inlineStr">
        <is>
          <t>Entered score</t>
        </is>
      </c>
      <c r="B13" s="6" t="inlineStr">
        <is>
          <t>Numeric result</t>
        </is>
      </c>
    </row>
    <row r="14">
      <c r="A14" t="inlineStr">
        <is>
          <t>E</t>
        </is>
      </c>
      <c r="B14" t="inlineStr">
        <is>
          <t>0</t>
        </is>
      </c>
    </row>
    <row r="15">
      <c r="A15" t="inlineStr">
        <is>
          <t>(E)</t>
        </is>
      </c>
      <c r="B15" t="inlineStr">
        <is>
          <t>0</t>
        </is>
      </c>
    </row>
    <row r="16">
      <c r="A16" t="inlineStr">
        <is>
          <t>-4</t>
        </is>
      </c>
      <c r="B16" t="inlineStr">
        <is>
          <t>-4</t>
        </is>
      </c>
    </row>
    <row r="17">
      <c r="A17" t="inlineStr">
        <is>
          <t>+3</t>
        </is>
      </c>
      <c r="B17" t="inlineStr">
        <is>
          <t>3</t>
        </is>
      </c>
    </row>
    <row r="18">
      <c r="A18" t="inlineStr">
        <is>
          <t>0</t>
        </is>
      </c>
      <c r="B18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E250"/>
  <sheetViews>
    <sheetView showGridLines="0" workbookViewId="0">
      <pane ySplit="1" topLeftCell="A62" activePane="bottomLeft" state="frozen"/>
      <selection pane="bottomLeft" activeCell="E91" sqref="E91"/>
    </sheetView>
  </sheetViews>
  <sheetFormatPr baseColWidth="8" defaultRowHeight="15"/>
  <cols>
    <col width="10" customWidth="1" style="28" min="1" max="1"/>
    <col width="15" customWidth="1" style="28" min="2" max="2"/>
    <col width="13" customWidth="1" style="28" min="3" max="3"/>
    <col width="22" customWidth="1" style="28" min="4" max="4"/>
    <col width="28" customWidth="1" style="28" min="5" max="5"/>
  </cols>
  <sheetData>
    <row r="1">
      <c r="A1" t="inlineStr">
        <is>
          <t>Round</t>
        </is>
      </c>
      <c r="B1" t="inlineStr">
        <is>
          <t>Pick In Round</t>
        </is>
      </c>
      <c r="C1" t="inlineStr">
        <is>
          <t>Overall Pick</t>
        </is>
      </c>
      <c r="D1" t="inlineStr">
        <is>
          <t>Team</t>
        </is>
      </c>
      <c r="E1" t="inlineStr">
        <is>
          <t>Player</t>
        </is>
      </c>
    </row>
    <row r="2">
      <c r="A2" t="n">
        <v>1</v>
      </c>
      <c r="B2" t="n">
        <v>1</v>
      </c>
      <c r="C2" t="n">
        <v>1</v>
      </c>
      <c r="D2" t="inlineStr">
        <is>
          <t>Ross</t>
        </is>
      </c>
      <c r="E2" t="inlineStr">
        <is>
          <t>Scottie Scheffler</t>
        </is>
      </c>
    </row>
    <row r="3">
      <c r="A3" t="n">
        <v>1</v>
      </c>
      <c r="B3" t="n">
        <v>2</v>
      </c>
      <c r="C3" t="n">
        <v>2</v>
      </c>
      <c r="D3" t="inlineStr">
        <is>
          <t>Melbye²</t>
        </is>
      </c>
      <c r="E3" t="inlineStr">
        <is>
          <t>Bryson DeChambeau</t>
        </is>
      </c>
    </row>
    <row r="4">
      <c r="A4" t="n">
        <v>1</v>
      </c>
      <c r="B4" t="n">
        <v>3</v>
      </c>
      <c r="C4" t="n">
        <v>3</v>
      </c>
      <c r="D4" t="inlineStr">
        <is>
          <t>Bryan</t>
        </is>
      </c>
      <c r="E4" t="inlineStr">
        <is>
          <t>Jon Rahm</t>
        </is>
      </c>
    </row>
    <row r="5">
      <c r="A5" t="n">
        <v>1</v>
      </c>
      <c r="B5" t="n">
        <v>4</v>
      </c>
      <c r="C5" t="n">
        <v>4</v>
      </c>
      <c r="D5" t="inlineStr">
        <is>
          <t>Dan 'Full Swing' Clark</t>
        </is>
      </c>
      <c r="E5" t="inlineStr">
        <is>
          <t>Ludvig Åberg</t>
        </is>
      </c>
    </row>
    <row r="6">
      <c r="A6" t="n">
        <v>1</v>
      </c>
      <c r="B6" t="n">
        <v>5</v>
      </c>
      <c r="C6" t="n">
        <v>5</v>
      </c>
      <c r="D6" t="inlineStr">
        <is>
          <t>Roth</t>
        </is>
      </c>
      <c r="E6" t="inlineStr">
        <is>
          <t>Rory McIlroy</t>
        </is>
      </c>
    </row>
    <row r="7">
      <c r="A7" t="n">
        <v>1</v>
      </c>
      <c r="B7" t="n">
        <v>6</v>
      </c>
      <c r="C7" t="n">
        <v>6</v>
      </c>
      <c r="D7" t="inlineStr">
        <is>
          <t>Coulter</t>
        </is>
      </c>
      <c r="E7" t="inlineStr">
        <is>
          <t>Xander Schauffele</t>
        </is>
      </c>
    </row>
    <row r="8">
      <c r="A8" t="n">
        <v>1</v>
      </c>
      <c r="B8" t="n">
        <v>7</v>
      </c>
      <c r="C8" t="n">
        <v>7</v>
      </c>
      <c r="D8" t="inlineStr">
        <is>
          <t>Klooster</t>
        </is>
      </c>
      <c r="E8" t="inlineStr">
        <is>
          <t>Justin Rose</t>
        </is>
      </c>
    </row>
    <row r="9">
      <c r="A9" t="n">
        <v>1</v>
      </c>
      <c r="B9" t="n">
        <v>8</v>
      </c>
      <c r="C9" t="n">
        <v>8</v>
      </c>
      <c r="D9" t="inlineStr">
        <is>
          <t>Adam &amp; Kevin</t>
        </is>
      </c>
      <c r="E9" t="inlineStr">
        <is>
          <t>Cameron Young</t>
        </is>
      </c>
    </row>
    <row r="10">
      <c r="A10" t="n">
        <v>1</v>
      </c>
      <c r="B10" t="n">
        <v>9</v>
      </c>
      <c r="C10" t="n">
        <v>9</v>
      </c>
      <c r="D10" t="inlineStr">
        <is>
          <t>Asshole Garrett</t>
        </is>
      </c>
      <c r="E10" t="inlineStr">
        <is>
          <t>Collin Morikawa</t>
        </is>
      </c>
    </row>
    <row r="11">
      <c r="A11" t="n">
        <v>1</v>
      </c>
      <c r="B11" t="n">
        <v>10</v>
      </c>
      <c r="C11" t="n">
        <v>10</v>
      </c>
      <c r="D11" t="inlineStr">
        <is>
          <t>Cool Tony</t>
        </is>
      </c>
      <c r="E11" t="inlineStr">
        <is>
          <t>Tommy Fleetwood</t>
        </is>
      </c>
    </row>
    <row r="12">
      <c r="A12" t="n">
        <v>2</v>
      </c>
      <c r="B12" t="n">
        <v>1</v>
      </c>
      <c r="C12" t="n">
        <v>11</v>
      </c>
      <c r="D12" t="inlineStr">
        <is>
          <t>Cool Tony</t>
        </is>
      </c>
      <c r="E12" t="inlineStr">
        <is>
          <t>Matt Fitzpatrick</t>
        </is>
      </c>
    </row>
    <row r="13">
      <c r="A13" t="n">
        <v>2</v>
      </c>
      <c r="B13" t="n">
        <v>2</v>
      </c>
      <c r="C13" t="n">
        <v>12</v>
      </c>
      <c r="D13" t="inlineStr">
        <is>
          <t>Asshole Garrett</t>
        </is>
      </c>
      <c r="E13" t="inlineStr">
        <is>
          <t>Min Woo Lee</t>
        </is>
      </c>
    </row>
    <row r="14">
      <c r="A14" t="n">
        <v>2</v>
      </c>
      <c r="B14" t="n">
        <v>3</v>
      </c>
      <c r="C14" t="n">
        <v>13</v>
      </c>
      <c r="D14" t="inlineStr">
        <is>
          <t>Adam &amp; Kevin</t>
        </is>
      </c>
      <c r="E14" t="inlineStr">
        <is>
          <t>Patrick Reed</t>
        </is>
      </c>
    </row>
    <row r="15">
      <c r="A15" t="n">
        <v>2</v>
      </c>
      <c r="B15" t="n">
        <v>4</v>
      </c>
      <c r="C15" t="n">
        <v>14</v>
      </c>
      <c r="D15" t="inlineStr">
        <is>
          <t>Klooster</t>
        </is>
      </c>
      <c r="E15" t="inlineStr">
        <is>
          <t>Robert MacIntyre</t>
        </is>
      </c>
    </row>
    <row r="16">
      <c r="A16" t="n">
        <v>2</v>
      </c>
      <c r="B16" t="n">
        <v>5</v>
      </c>
      <c r="C16" t="n">
        <v>15</v>
      </c>
      <c r="D16" t="inlineStr">
        <is>
          <t>Coulter</t>
        </is>
      </c>
      <c r="E16" t="inlineStr">
        <is>
          <t>Jordan Spieth</t>
        </is>
      </c>
    </row>
    <row r="17">
      <c r="A17" t="n">
        <v>2</v>
      </c>
      <c r="B17" t="n">
        <v>6</v>
      </c>
      <c r="C17" t="n">
        <v>16</v>
      </c>
      <c r="D17" t="inlineStr">
        <is>
          <t>Roth</t>
        </is>
      </c>
      <c r="E17" t="inlineStr">
        <is>
          <t>Hideki Matsuyama</t>
        </is>
      </c>
    </row>
    <row r="18">
      <c r="A18" t="n">
        <v>2</v>
      </c>
      <c r="B18" t="n">
        <v>7</v>
      </c>
      <c r="C18" t="n">
        <v>17</v>
      </c>
      <c r="D18" t="inlineStr">
        <is>
          <t>Dan 'Full Swing' Clark</t>
        </is>
      </c>
      <c r="E18" t="inlineStr">
        <is>
          <t>Si Woo Kim</t>
        </is>
      </c>
    </row>
    <row r="19">
      <c r="A19" t="n">
        <v>2</v>
      </c>
      <c r="B19" t="n">
        <v>8</v>
      </c>
      <c r="C19" t="n">
        <v>18</v>
      </c>
      <c r="D19" t="inlineStr">
        <is>
          <t>Bryan</t>
        </is>
      </c>
      <c r="E19" t="inlineStr">
        <is>
          <t>Russell Henley</t>
        </is>
      </c>
    </row>
    <row r="20">
      <c r="A20" t="n">
        <v>2</v>
      </c>
      <c r="B20" t="n">
        <v>9</v>
      </c>
      <c r="C20" t="n">
        <v>19</v>
      </c>
      <c r="D20" t="inlineStr">
        <is>
          <t>Melbye²</t>
        </is>
      </c>
      <c r="E20" t="inlineStr">
        <is>
          <t>Brooks Koepka</t>
        </is>
      </c>
    </row>
    <row r="21">
      <c r="A21" t="n">
        <v>2</v>
      </c>
      <c r="B21" t="n">
        <v>10</v>
      </c>
      <c r="C21" t="n">
        <v>20</v>
      </c>
      <c r="D21" t="inlineStr">
        <is>
          <t>Ross</t>
        </is>
      </c>
      <c r="E21" t="inlineStr">
        <is>
          <t>Akshay Bhatia</t>
        </is>
      </c>
    </row>
    <row r="22">
      <c r="A22" t="n">
        <v>3</v>
      </c>
      <c r="B22" t="n">
        <v>1</v>
      </c>
      <c r="C22" t="n">
        <v>21</v>
      </c>
      <c r="D22" t="inlineStr">
        <is>
          <t>Ross</t>
        </is>
      </c>
      <c r="E22" t="inlineStr">
        <is>
          <t>Chris Gotterup</t>
        </is>
      </c>
    </row>
    <row r="23">
      <c r="A23" t="n">
        <v>3</v>
      </c>
      <c r="B23" t="n">
        <v>2</v>
      </c>
      <c r="C23" t="n">
        <v>22</v>
      </c>
      <c r="D23" t="inlineStr">
        <is>
          <t>Melbye²</t>
        </is>
      </c>
      <c r="E23" t="inlineStr">
        <is>
          <t>Jake Knapp</t>
        </is>
      </c>
    </row>
    <row r="24">
      <c r="A24" t="n">
        <v>3</v>
      </c>
      <c r="B24" t="n">
        <v>3</v>
      </c>
      <c r="C24" t="n">
        <v>23</v>
      </c>
      <c r="D24" t="inlineStr">
        <is>
          <t>Bryan</t>
        </is>
      </c>
      <c r="E24" t="inlineStr">
        <is>
          <t>Corey Conners</t>
        </is>
      </c>
    </row>
    <row r="25">
      <c r="A25" t="n">
        <v>3</v>
      </c>
      <c r="B25" t="n">
        <v>4</v>
      </c>
      <c r="C25" t="n">
        <v>24</v>
      </c>
      <c r="D25" t="inlineStr">
        <is>
          <t>Dan 'Full Swing' Clark</t>
        </is>
      </c>
      <c r="E25" t="inlineStr">
        <is>
          <t>Jacob Bridgeman</t>
        </is>
      </c>
    </row>
    <row r="26">
      <c r="A26" t="n">
        <v>3</v>
      </c>
      <c r="B26" t="n">
        <v>5</v>
      </c>
      <c r="C26" t="n">
        <v>25</v>
      </c>
      <c r="D26" t="inlineStr">
        <is>
          <t>Roth</t>
        </is>
      </c>
      <c r="E26" t="inlineStr">
        <is>
          <t>J.J. Spaun</t>
        </is>
      </c>
    </row>
    <row r="27">
      <c r="A27" t="n">
        <v>3</v>
      </c>
      <c r="B27" t="n">
        <v>6</v>
      </c>
      <c r="C27" t="n">
        <v>26</v>
      </c>
      <c r="D27" t="inlineStr">
        <is>
          <t>Coulter</t>
        </is>
      </c>
      <c r="E27" t="inlineStr">
        <is>
          <t>Justin Thomas</t>
        </is>
      </c>
    </row>
    <row r="28">
      <c r="A28" t="n">
        <v>3</v>
      </c>
      <c r="B28" t="n">
        <v>7</v>
      </c>
      <c r="C28" t="n">
        <v>27</v>
      </c>
      <c r="D28" t="inlineStr">
        <is>
          <t>Klooster</t>
        </is>
      </c>
      <c r="E28" t="inlineStr">
        <is>
          <t>Nicolai Højgaard</t>
        </is>
      </c>
    </row>
    <row r="29">
      <c r="A29" t="n">
        <v>3</v>
      </c>
      <c r="B29" t="n">
        <v>8</v>
      </c>
      <c r="C29" t="n">
        <v>28</v>
      </c>
      <c r="D29" t="inlineStr">
        <is>
          <t>Adam &amp; Kevin</t>
        </is>
      </c>
      <c r="E29" t="inlineStr">
        <is>
          <t>Cameron Smith</t>
        </is>
      </c>
    </row>
    <row r="30">
      <c r="A30" t="n">
        <v>3</v>
      </c>
      <c r="B30" t="n">
        <v>9</v>
      </c>
      <c r="C30" t="n">
        <v>29</v>
      </c>
      <c r="D30" t="inlineStr">
        <is>
          <t>Asshole Garrett</t>
        </is>
      </c>
      <c r="E30" t="inlineStr">
        <is>
          <t>Max Homa</t>
        </is>
      </c>
    </row>
    <row r="31">
      <c r="A31" t="n">
        <v>3</v>
      </c>
      <c r="B31" t="n">
        <v>10</v>
      </c>
      <c r="C31" t="n">
        <v>30</v>
      </c>
      <c r="D31" t="inlineStr">
        <is>
          <t>Cool Tony</t>
        </is>
      </c>
      <c r="E31" t="inlineStr">
        <is>
          <t>Viktor Hovland</t>
        </is>
      </c>
    </row>
    <row r="32">
      <c r="A32" t="n">
        <v>4</v>
      </c>
      <c r="B32" t="n">
        <v>1</v>
      </c>
      <c r="C32" t="n">
        <v>31</v>
      </c>
      <c r="D32" t="inlineStr">
        <is>
          <t>Cool Tony</t>
        </is>
      </c>
      <c r="E32" t="inlineStr">
        <is>
          <t>Jason Day</t>
        </is>
      </c>
    </row>
    <row r="33">
      <c r="A33" t="n">
        <v>4</v>
      </c>
      <c r="B33" t="n">
        <v>2</v>
      </c>
      <c r="C33" t="n">
        <v>32</v>
      </c>
      <c r="D33" t="inlineStr">
        <is>
          <t>Asshole Garrett</t>
        </is>
      </c>
      <c r="E33" t="inlineStr">
        <is>
          <t>Sungjae Im</t>
        </is>
      </c>
    </row>
    <row r="34">
      <c r="A34" t="n">
        <v>4</v>
      </c>
      <c r="B34" t="n">
        <v>3</v>
      </c>
      <c r="C34" t="n">
        <v>33</v>
      </c>
      <c r="D34" t="inlineStr">
        <is>
          <t>Adam &amp; Kevin</t>
        </is>
      </c>
      <c r="E34" t="inlineStr">
        <is>
          <t>Sepp Straka</t>
        </is>
      </c>
    </row>
    <row r="35">
      <c r="A35" t="n">
        <v>4</v>
      </c>
      <c r="B35" t="n">
        <v>4</v>
      </c>
      <c r="C35" t="n">
        <v>34</v>
      </c>
      <c r="D35" t="inlineStr">
        <is>
          <t>Klooster</t>
        </is>
      </c>
      <c r="E35" t="inlineStr">
        <is>
          <t>Adam Scott</t>
        </is>
      </c>
    </row>
    <row r="36">
      <c r="A36" t="n">
        <v>4</v>
      </c>
      <c r="B36" t="n">
        <v>5</v>
      </c>
      <c r="C36" t="n">
        <v>35</v>
      </c>
      <c r="D36" t="inlineStr">
        <is>
          <t>Coulter</t>
        </is>
      </c>
      <c r="E36" t="inlineStr">
        <is>
          <t>Tyrrell Hatton</t>
        </is>
      </c>
    </row>
    <row r="37">
      <c r="A37" t="n">
        <v>4</v>
      </c>
      <c r="B37" t="n">
        <v>6</v>
      </c>
      <c r="C37" t="n">
        <v>36</v>
      </c>
      <c r="D37" t="inlineStr">
        <is>
          <t>Roth</t>
        </is>
      </c>
      <c r="E37" t="inlineStr">
        <is>
          <t>Ben Griffin</t>
        </is>
      </c>
    </row>
    <row r="38">
      <c r="A38" t="n">
        <v>4</v>
      </c>
      <c r="B38" t="n">
        <v>7</v>
      </c>
      <c r="C38" t="n">
        <v>37</v>
      </c>
      <c r="D38" t="inlineStr">
        <is>
          <t>Dan 'Full Swing' Clark</t>
        </is>
      </c>
      <c r="E38" t="inlineStr">
        <is>
          <t>Shane Lowry</t>
        </is>
      </c>
    </row>
    <row r="39">
      <c r="A39" t="n">
        <v>4</v>
      </c>
      <c r="B39" t="n">
        <v>8</v>
      </c>
      <c r="C39" t="n">
        <v>38</v>
      </c>
      <c r="D39" t="inlineStr">
        <is>
          <t>Bryan</t>
        </is>
      </c>
      <c r="E39" t="inlineStr">
        <is>
          <t>Maverick McNealy</t>
        </is>
      </c>
    </row>
    <row r="40">
      <c r="A40" t="n">
        <v>4</v>
      </c>
      <c r="B40" t="n">
        <v>9</v>
      </c>
      <c r="C40" t="n">
        <v>39</v>
      </c>
      <c r="D40" t="inlineStr">
        <is>
          <t>Melbye²</t>
        </is>
      </c>
      <c r="E40" t="inlineStr">
        <is>
          <t>Sam Burns</t>
        </is>
      </c>
    </row>
    <row r="41">
      <c r="A41" t="n">
        <v>4</v>
      </c>
      <c r="B41" t="n">
        <v>10</v>
      </c>
      <c r="C41" t="n">
        <v>40</v>
      </c>
      <c r="D41" t="inlineStr">
        <is>
          <t>Ross</t>
        </is>
      </c>
      <c r="E41" t="inlineStr">
        <is>
          <t>Patrick Cantlay</t>
        </is>
      </c>
    </row>
    <row r="42">
      <c r="A42" t="n">
        <v>5</v>
      </c>
      <c r="B42" t="n">
        <v>1</v>
      </c>
      <c r="C42" t="n">
        <v>41</v>
      </c>
      <c r="D42" t="inlineStr">
        <is>
          <t>Ross</t>
        </is>
      </c>
      <c r="E42" t="inlineStr">
        <is>
          <t>Harris English</t>
        </is>
      </c>
    </row>
    <row r="43">
      <c r="A43" t="n">
        <v>5</v>
      </c>
      <c r="B43" t="n">
        <v>2</v>
      </c>
      <c r="C43" t="n">
        <v>42</v>
      </c>
      <c r="D43" t="inlineStr">
        <is>
          <t>Melbye²</t>
        </is>
      </c>
      <c r="E43" t="inlineStr">
        <is>
          <t>Daniel Berger</t>
        </is>
      </c>
    </row>
    <row r="44">
      <c r="A44" t="n">
        <v>5</v>
      </c>
      <c r="B44" t="n">
        <v>3</v>
      </c>
      <c r="C44" t="n">
        <v>43</v>
      </c>
      <c r="D44" t="inlineStr">
        <is>
          <t>Bryan</t>
        </is>
      </c>
      <c r="E44" t="inlineStr">
        <is>
          <t>Harry Hall</t>
        </is>
      </c>
    </row>
    <row r="45">
      <c r="A45" t="n">
        <v>5</v>
      </c>
      <c r="B45" t="n">
        <v>4</v>
      </c>
      <c r="C45" t="n">
        <v>44</v>
      </c>
      <c r="D45" t="inlineStr">
        <is>
          <t>Dan 'Full Swing' Clark</t>
        </is>
      </c>
      <c r="E45" t="inlineStr">
        <is>
          <t>Keegan Bradley</t>
        </is>
      </c>
    </row>
    <row r="46">
      <c r="A46" t="n">
        <v>5</v>
      </c>
      <c r="B46" t="n">
        <v>5</v>
      </c>
      <c r="C46" t="n">
        <v>45</v>
      </c>
      <c r="D46" t="inlineStr">
        <is>
          <t>Roth</t>
        </is>
      </c>
      <c r="E46" t="inlineStr">
        <is>
          <t>Kurt Kitayama</t>
        </is>
      </c>
    </row>
    <row r="47">
      <c r="A47" t="n">
        <v>5</v>
      </c>
      <c r="B47" t="n">
        <v>6</v>
      </c>
      <c r="C47" t="n">
        <v>46</v>
      </c>
      <c r="D47" t="inlineStr">
        <is>
          <t>Coulter</t>
        </is>
      </c>
      <c r="E47" t="inlineStr">
        <is>
          <t>Dustin Johnson</t>
        </is>
      </c>
    </row>
    <row r="48">
      <c r="A48" t="n">
        <v>5</v>
      </c>
      <c r="B48" t="n">
        <v>7</v>
      </c>
      <c r="C48" t="n">
        <v>47</v>
      </c>
      <c r="D48" t="inlineStr">
        <is>
          <t>Klooster</t>
        </is>
      </c>
      <c r="E48" t="inlineStr">
        <is>
          <t>Marco Penge</t>
        </is>
      </c>
    </row>
    <row r="49">
      <c r="A49" t="n">
        <v>5</v>
      </c>
      <c r="B49" t="n">
        <v>8</v>
      </c>
      <c r="C49" t="n">
        <v>48</v>
      </c>
      <c r="D49" t="inlineStr">
        <is>
          <t>Adam &amp; Kevin</t>
        </is>
      </c>
      <c r="E49" t="inlineStr">
        <is>
          <t>Ryan Fox</t>
        </is>
      </c>
    </row>
    <row r="50">
      <c r="A50" t="n">
        <v>5</v>
      </c>
      <c r="B50" t="n">
        <v>9</v>
      </c>
      <c r="C50" t="n">
        <v>49</v>
      </c>
      <c r="D50" t="inlineStr">
        <is>
          <t>Asshole Garrett</t>
        </is>
      </c>
      <c r="E50" t="inlineStr">
        <is>
          <t>Rasmus Højgaard</t>
        </is>
      </c>
    </row>
    <row r="51">
      <c r="A51" t="n">
        <v>5</v>
      </c>
      <c r="B51" t="n">
        <v>10</v>
      </c>
      <c r="C51" t="n">
        <v>50</v>
      </c>
      <c r="D51" t="inlineStr">
        <is>
          <t>Cool Tony</t>
        </is>
      </c>
      <c r="E51" t="inlineStr">
        <is>
          <t>Gary Woodland</t>
        </is>
      </c>
    </row>
    <row r="52">
      <c r="A52" t="n">
        <v>6</v>
      </c>
      <c r="B52" t="n">
        <v>1</v>
      </c>
      <c r="C52" t="n">
        <v>51</v>
      </c>
      <c r="D52" t="inlineStr">
        <is>
          <t>Cool Tony</t>
        </is>
      </c>
      <c r="E52" t="inlineStr">
        <is>
          <t>Samuel Stevens</t>
        </is>
      </c>
    </row>
    <row r="53">
      <c r="A53" t="n">
        <v>6</v>
      </c>
      <c r="B53" t="n">
        <v>2</v>
      </c>
      <c r="C53" t="n">
        <v>52</v>
      </c>
      <c r="D53" t="inlineStr">
        <is>
          <t>Asshole Garrett</t>
        </is>
      </c>
      <c r="E53" t="inlineStr">
        <is>
          <t>Brian Harman</t>
        </is>
      </c>
    </row>
    <row r="54">
      <c r="A54" t="n">
        <v>6</v>
      </c>
      <c r="B54" t="n">
        <v>3</v>
      </c>
      <c r="C54" t="n">
        <v>53</v>
      </c>
      <c r="D54" t="inlineStr">
        <is>
          <t>Adam &amp; Kevin</t>
        </is>
      </c>
      <c r="E54" t="inlineStr">
        <is>
          <t>Ryan Gerard</t>
        </is>
      </c>
    </row>
    <row r="55">
      <c r="A55" t="n">
        <v>6</v>
      </c>
      <c r="B55" t="n">
        <v>4</v>
      </c>
      <c r="C55" t="n">
        <v>54</v>
      </c>
      <c r="D55" t="inlineStr">
        <is>
          <t>Klooster</t>
        </is>
      </c>
      <c r="E55" t="inlineStr">
        <is>
          <t>Wyndham Clark</t>
        </is>
      </c>
    </row>
    <row r="56">
      <c r="A56" t="n">
        <v>6</v>
      </c>
      <c r="B56" t="n">
        <v>5</v>
      </c>
      <c r="C56" t="n">
        <v>55</v>
      </c>
      <c r="D56" t="inlineStr">
        <is>
          <t>Coulter</t>
        </is>
      </c>
      <c r="E56" t="inlineStr">
        <is>
          <t>Nicolas Echavarria</t>
        </is>
      </c>
    </row>
    <row r="57">
      <c r="A57" t="n">
        <v>6</v>
      </c>
      <c r="B57" t="n">
        <v>6</v>
      </c>
      <c r="C57" t="n">
        <v>56</v>
      </c>
      <c r="D57" t="inlineStr">
        <is>
          <t>Roth</t>
        </is>
      </c>
      <c r="E57" t="inlineStr">
        <is>
          <t>Matt McCarty</t>
        </is>
      </c>
    </row>
    <row r="58">
      <c r="A58" t="n">
        <v>6</v>
      </c>
      <c r="B58" t="n">
        <v>7</v>
      </c>
      <c r="C58" t="n">
        <v>57</v>
      </c>
      <c r="D58" t="inlineStr">
        <is>
          <t>Dan 'Full Swing' Clark</t>
        </is>
      </c>
      <c r="E58" t="inlineStr">
        <is>
          <t>Alex Noren</t>
        </is>
      </c>
    </row>
    <row r="59">
      <c r="A59" t="n">
        <v>6</v>
      </c>
      <c r="B59" t="n">
        <v>8</v>
      </c>
      <c r="C59" t="n">
        <v>58</v>
      </c>
      <c r="D59" t="inlineStr">
        <is>
          <t>Bryan</t>
        </is>
      </c>
      <c r="E59" t="inlineStr">
        <is>
          <t>Nick Taylor</t>
        </is>
      </c>
    </row>
    <row r="60">
      <c r="A60" t="n">
        <v>6</v>
      </c>
      <c r="B60" t="n">
        <v>9</v>
      </c>
      <c r="C60" t="n">
        <v>59</v>
      </c>
      <c r="D60" t="inlineStr">
        <is>
          <t>Melbye²</t>
        </is>
      </c>
      <c r="E60" t="inlineStr">
        <is>
          <t>Aldrich Potgieter</t>
        </is>
      </c>
    </row>
    <row r="61">
      <c r="A61" t="n">
        <v>6</v>
      </c>
      <c r="B61" t="n">
        <v>10</v>
      </c>
      <c r="C61" t="n">
        <v>60</v>
      </c>
      <c r="D61" t="inlineStr">
        <is>
          <t>Ross</t>
        </is>
      </c>
      <c r="E61" t="inlineStr">
        <is>
          <t>Aaron Rai</t>
        </is>
      </c>
    </row>
    <row r="62">
      <c r="A62" t="n">
        <v>7</v>
      </c>
      <c r="B62" t="n">
        <v>1</v>
      </c>
      <c r="C62" t="n">
        <v>61</v>
      </c>
      <c r="D62" t="inlineStr">
        <is>
          <t>Ross</t>
        </is>
      </c>
      <c r="E62" t="inlineStr">
        <is>
          <t>Casey Jarvis</t>
        </is>
      </c>
    </row>
    <row r="63">
      <c r="A63" t="n">
        <v>7</v>
      </c>
      <c r="B63" t="n">
        <v>2</v>
      </c>
      <c r="C63" t="n">
        <v>62</v>
      </c>
      <c r="D63" t="inlineStr">
        <is>
          <t>Melbye²</t>
        </is>
      </c>
      <c r="E63" t="inlineStr">
        <is>
          <t>Max Greyserman</t>
        </is>
      </c>
    </row>
    <row r="64">
      <c r="A64" t="n">
        <v>7</v>
      </c>
      <c r="B64" t="n">
        <v>3</v>
      </c>
      <c r="C64" t="n">
        <v>63</v>
      </c>
      <c r="D64" t="inlineStr">
        <is>
          <t>Bryan</t>
        </is>
      </c>
      <c r="E64" t="inlineStr">
        <is>
          <t>Michael Kim</t>
        </is>
      </c>
    </row>
    <row r="65">
      <c r="A65" t="n">
        <v>7</v>
      </c>
      <c r="B65" t="n">
        <v>4</v>
      </c>
      <c r="C65" t="n">
        <v>64</v>
      </c>
      <c r="D65" t="inlineStr">
        <is>
          <t>Dan 'Full Swing' Clark</t>
        </is>
      </c>
      <c r="E65" t="inlineStr">
        <is>
          <t>Rasmus Neergaard-Petersen</t>
        </is>
      </c>
    </row>
    <row r="66">
      <c r="A66" t="n">
        <v>7</v>
      </c>
      <c r="B66" t="n">
        <v>5</v>
      </c>
      <c r="C66" t="n">
        <v>65</v>
      </c>
      <c r="D66" t="inlineStr">
        <is>
          <t>Roth</t>
        </is>
      </c>
      <c r="E66" t="inlineStr">
        <is>
          <t>Kristoffer Reitan</t>
        </is>
      </c>
    </row>
    <row r="67">
      <c r="A67" t="n">
        <v>7</v>
      </c>
      <c r="B67" t="n">
        <v>6</v>
      </c>
      <c r="C67" t="n">
        <v>66</v>
      </c>
      <c r="D67" t="inlineStr">
        <is>
          <t>Coulter</t>
        </is>
      </c>
      <c r="E67" t="inlineStr">
        <is>
          <t>Andrew Novak</t>
        </is>
      </c>
    </row>
    <row r="68">
      <c r="A68" t="n">
        <v>7</v>
      </c>
      <c r="B68" t="n">
        <v>7</v>
      </c>
      <c r="C68" t="n">
        <v>67</v>
      </c>
      <c r="D68" t="inlineStr">
        <is>
          <t>Klooster</t>
        </is>
      </c>
      <c r="E68" t="inlineStr">
        <is>
          <t>Michael Brennan</t>
        </is>
      </c>
    </row>
    <row r="69">
      <c r="A69" t="n">
        <v>7</v>
      </c>
      <c r="B69" t="n">
        <v>8</v>
      </c>
      <c r="C69" t="n">
        <v>68</v>
      </c>
      <c r="D69" t="inlineStr">
        <is>
          <t>Adam &amp; Kevin</t>
        </is>
      </c>
      <c r="E69" t="inlineStr">
        <is>
          <t>Carlos Ortiz</t>
        </is>
      </c>
    </row>
    <row r="70">
      <c r="A70" t="n">
        <v>7</v>
      </c>
      <c r="B70" t="n">
        <v>9</v>
      </c>
      <c r="C70" t="n">
        <v>69</v>
      </c>
      <c r="D70" t="inlineStr">
        <is>
          <t>Asshole Garrett</t>
        </is>
      </c>
      <c r="E70" t="inlineStr">
        <is>
          <t>Zach Johnson</t>
        </is>
      </c>
    </row>
    <row r="71">
      <c r="A71" t="n">
        <v>7</v>
      </c>
      <c r="B71" t="n">
        <v>10</v>
      </c>
      <c r="C71" t="n">
        <v>70</v>
      </c>
      <c r="D71" t="inlineStr">
        <is>
          <t>Cool Tony</t>
        </is>
      </c>
      <c r="E71" t="inlineStr">
        <is>
          <t>Haotong Li</t>
        </is>
      </c>
    </row>
    <row r="72">
      <c r="A72" t="n">
        <v>8</v>
      </c>
      <c r="B72" t="n">
        <v>1</v>
      </c>
      <c r="C72" t="n">
        <v>71</v>
      </c>
      <c r="D72" t="inlineStr">
        <is>
          <t>Cool Tony</t>
        </is>
      </c>
      <c r="E72" t="inlineStr">
        <is>
          <t>Tom McKibbin</t>
        </is>
      </c>
    </row>
    <row r="73">
      <c r="A73" t="n">
        <v>8</v>
      </c>
      <c r="B73" t="n">
        <v>2</v>
      </c>
      <c r="C73" t="n">
        <v>72</v>
      </c>
      <c r="D73" t="inlineStr">
        <is>
          <t>Asshole Garrett</t>
        </is>
      </c>
      <c r="E73" t="inlineStr">
        <is>
          <t>Bubba Watson</t>
        </is>
      </c>
    </row>
    <row r="74">
      <c r="A74" t="n">
        <v>8</v>
      </c>
      <c r="B74" t="n">
        <v>3</v>
      </c>
      <c r="C74" t="n">
        <v>73</v>
      </c>
      <c r="D74" t="inlineStr">
        <is>
          <t>Adam &amp; Kevin</t>
        </is>
      </c>
      <c r="E74" t="inlineStr">
        <is>
          <t>John Keefer</t>
        </is>
      </c>
    </row>
    <row r="75">
      <c r="A75" t="n">
        <v>8</v>
      </c>
      <c r="B75" t="n">
        <v>4</v>
      </c>
      <c r="C75" t="n">
        <v>74</v>
      </c>
      <c r="D75" t="inlineStr">
        <is>
          <t>Klooster</t>
        </is>
      </c>
      <c r="E75" t="inlineStr">
        <is>
          <t>Charl Schwartzel</t>
        </is>
      </c>
    </row>
    <row r="76">
      <c r="A76" t="n">
        <v>8</v>
      </c>
      <c r="B76" t="n">
        <v>5</v>
      </c>
      <c r="C76" t="n">
        <v>75</v>
      </c>
      <c r="D76" t="inlineStr">
        <is>
          <t>Coulter</t>
        </is>
      </c>
      <c r="E76" t="inlineStr">
        <is>
          <t>Sami Välimäki</t>
        </is>
      </c>
    </row>
    <row r="77">
      <c r="A77" t="n">
        <v>8</v>
      </c>
      <c r="B77" t="n">
        <v>6</v>
      </c>
      <c r="C77" t="n">
        <v>76</v>
      </c>
      <c r="D77" t="inlineStr">
        <is>
          <t>Roth</t>
        </is>
      </c>
      <c r="E77" t="inlineStr">
        <is>
          <t>Brian Campbell</t>
        </is>
      </c>
    </row>
    <row r="78">
      <c r="A78" t="n">
        <v>8</v>
      </c>
      <c r="B78" t="n">
        <v>7</v>
      </c>
      <c r="C78" t="n">
        <v>77</v>
      </c>
      <c r="D78" t="inlineStr">
        <is>
          <t>Dan 'Full Swing' Clark</t>
        </is>
      </c>
      <c r="E78" t="inlineStr">
        <is>
          <t>Davis Riley</t>
        </is>
      </c>
    </row>
    <row r="79">
      <c r="A79" t="n">
        <v>8</v>
      </c>
      <c r="B79" t="n">
        <v>8</v>
      </c>
      <c r="C79" t="n">
        <v>78</v>
      </c>
      <c r="D79" t="inlineStr">
        <is>
          <t>Bryan</t>
        </is>
      </c>
      <c r="E79" t="inlineStr">
        <is>
          <t>Danny Willett</t>
        </is>
      </c>
    </row>
    <row r="80">
      <c r="A80" t="n">
        <v>8</v>
      </c>
      <c r="B80" t="n">
        <v>9</v>
      </c>
      <c r="C80" t="n">
        <v>79</v>
      </c>
      <c r="D80" t="inlineStr">
        <is>
          <t>Melbye²</t>
        </is>
      </c>
      <c r="E80" t="inlineStr">
        <is>
          <t>Mason Howell (a)</t>
        </is>
      </c>
    </row>
    <row r="81">
      <c r="A81" t="n">
        <v>8</v>
      </c>
      <c r="B81" t="n">
        <v>10</v>
      </c>
      <c r="C81" t="n">
        <v>80</v>
      </c>
      <c r="D81" t="inlineStr">
        <is>
          <t>Ross</t>
        </is>
      </c>
      <c r="E81" t="inlineStr">
        <is>
          <t>Fifa Laopakdee (a)</t>
        </is>
      </c>
    </row>
    <row r="82">
      <c r="A82" t="n">
        <v>9</v>
      </c>
      <c r="B82" t="n">
        <v>1</v>
      </c>
      <c r="C82" t="n">
        <v>81</v>
      </c>
      <c r="D82" t="inlineStr">
        <is>
          <t>Ross</t>
        </is>
      </c>
      <c r="E82" t="inlineStr">
        <is>
          <t>Ethan Fang (a)</t>
        </is>
      </c>
    </row>
    <row r="83">
      <c r="A83" t="n">
        <v>9</v>
      </c>
      <c r="B83" t="n">
        <v>2</v>
      </c>
      <c r="C83" t="n">
        <v>82</v>
      </c>
      <c r="D83" t="inlineStr">
        <is>
          <t>Melbye²</t>
        </is>
      </c>
      <c r="E83" t="inlineStr">
        <is>
          <t>Jackson Herrington (a)</t>
        </is>
      </c>
    </row>
    <row r="84">
      <c r="A84" t="n">
        <v>9</v>
      </c>
      <c r="B84" t="n">
        <v>3</v>
      </c>
      <c r="C84" t="n">
        <v>83</v>
      </c>
      <c r="D84" t="inlineStr">
        <is>
          <t>Bryan</t>
        </is>
      </c>
      <c r="E84" t="inlineStr">
        <is>
          <t>Naoyuki Kataoka</t>
        </is>
      </c>
    </row>
    <row r="85">
      <c r="A85" t="n">
        <v>9</v>
      </c>
      <c r="B85" t="n">
        <v>4</v>
      </c>
      <c r="C85" t="n">
        <v>84</v>
      </c>
      <c r="D85" t="inlineStr">
        <is>
          <t>Dan 'Full Swing' Clark</t>
        </is>
      </c>
      <c r="E85" t="inlineStr">
        <is>
          <t>Brandon Holtz (a)</t>
        </is>
      </c>
    </row>
    <row r="86">
      <c r="A86" t="n">
        <v>9</v>
      </c>
      <c r="B86" t="n">
        <v>5</v>
      </c>
      <c r="C86" t="n">
        <v>85</v>
      </c>
      <c r="D86" t="inlineStr">
        <is>
          <t>Roth</t>
        </is>
      </c>
      <c r="E86" t="inlineStr">
        <is>
          <t>Mateo Pulcini (a)</t>
        </is>
      </c>
    </row>
    <row r="87">
      <c r="A87" t="n">
        <v>9</v>
      </c>
      <c r="B87" t="n">
        <v>6</v>
      </c>
      <c r="C87" t="n">
        <v>86</v>
      </c>
      <c r="D87" t="inlineStr">
        <is>
          <t>Coulter</t>
        </is>
      </c>
      <c r="E87" t="inlineStr">
        <is>
          <t>José María Olazábal</t>
        </is>
      </c>
    </row>
    <row r="88">
      <c r="A88" t="n">
        <v>9</v>
      </c>
      <c r="B88" t="n">
        <v>7</v>
      </c>
      <c r="C88" t="n">
        <v>87</v>
      </c>
      <c r="D88" t="inlineStr">
        <is>
          <t>Klooster</t>
        </is>
      </c>
      <c r="E88" t="inlineStr">
        <is>
          <t>Mike Weir</t>
        </is>
      </c>
    </row>
    <row r="89">
      <c r="A89" t="n">
        <v>9</v>
      </c>
      <c r="B89" t="n">
        <v>8</v>
      </c>
      <c r="C89" t="n">
        <v>88</v>
      </c>
      <c r="D89" t="inlineStr">
        <is>
          <t>Adam &amp; Kevin</t>
        </is>
      </c>
      <c r="E89" t="inlineStr">
        <is>
          <t>Vijay Singh</t>
        </is>
      </c>
    </row>
    <row r="90">
      <c r="A90" t="n">
        <v>9</v>
      </c>
      <c r="B90" t="n">
        <v>9</v>
      </c>
      <c r="C90" t="n">
        <v>89</v>
      </c>
      <c r="D90" t="inlineStr">
        <is>
          <t>Asshole Garrett</t>
        </is>
      </c>
      <c r="E90" t="inlineStr">
        <is>
          <t>Ángel Cabrera</t>
        </is>
      </c>
    </row>
    <row r="91">
      <c r="A91" t="n">
        <v>9</v>
      </c>
      <c r="B91" t="n">
        <v>10</v>
      </c>
      <c r="C91" t="n">
        <v>90</v>
      </c>
      <c r="D91" t="inlineStr">
        <is>
          <t>Cool Tony</t>
        </is>
      </c>
      <c r="E91" t="inlineStr">
        <is>
          <t>Fred Couples</t>
        </is>
      </c>
    </row>
    <row r="92">
      <c r="A92" t="n">
        <v>10</v>
      </c>
      <c r="B92" t="n">
        <v>1</v>
      </c>
      <c r="C92" t="n">
        <v>91</v>
      </c>
      <c r="D92" t="inlineStr">
        <is>
          <t>Cool Tony</t>
        </is>
      </c>
      <c r="E92" t="inlineStr">
        <is>
          <t>Sergio Garcia</t>
        </is>
      </c>
    </row>
    <row r="99">
      <c r="A99" s="7" t="n"/>
      <c r="B99" s="7" t="n"/>
      <c r="C99" s="7" t="n"/>
      <c r="D99" s="8" t="n"/>
      <c r="E99" s="8" t="n"/>
    </row>
    <row r="100">
      <c r="A100" s="7" t="n"/>
      <c r="B100" s="7" t="n"/>
      <c r="C100" s="7" t="n"/>
      <c r="D100" s="8" t="n"/>
      <c r="E100" s="8" t="n"/>
    </row>
    <row r="101">
      <c r="A101" s="7" t="n"/>
      <c r="B101" s="7" t="n"/>
      <c r="C101" s="7" t="n"/>
      <c r="D101" s="8" t="n"/>
      <c r="E101" s="8" t="n"/>
    </row>
    <row r="102">
      <c r="A102" s="7" t="n"/>
      <c r="B102" s="7" t="n"/>
      <c r="C102" s="7" t="n"/>
      <c r="D102" s="8" t="n"/>
      <c r="E102" s="8" t="n"/>
    </row>
    <row r="103">
      <c r="A103" s="7" t="n"/>
      <c r="B103" s="7" t="n"/>
      <c r="C103" s="7" t="n"/>
      <c r="D103" s="8" t="n"/>
      <c r="E103" s="8" t="n"/>
    </row>
    <row r="104">
      <c r="A104" s="7" t="n"/>
      <c r="B104" s="7" t="n"/>
      <c r="C104" s="7" t="n"/>
      <c r="D104" s="8" t="n"/>
      <c r="E104" s="8" t="n"/>
    </row>
    <row r="105">
      <c r="A105" s="7" t="n"/>
      <c r="B105" s="7" t="n"/>
      <c r="C105" s="7" t="n"/>
      <c r="D105" s="8" t="n"/>
      <c r="E105" s="8" t="n"/>
    </row>
    <row r="106">
      <c r="A106" s="7" t="n"/>
      <c r="B106" s="7" t="n"/>
      <c r="C106" s="7" t="n"/>
      <c r="D106" s="8" t="n"/>
      <c r="E106" s="8" t="n"/>
    </row>
    <row r="107">
      <c r="A107" s="7" t="n"/>
      <c r="B107" s="7" t="n"/>
      <c r="C107" s="7" t="n"/>
      <c r="D107" s="8" t="n"/>
      <c r="E107" s="8" t="n"/>
    </row>
    <row r="108">
      <c r="A108" s="7" t="n"/>
      <c r="B108" s="7" t="n"/>
      <c r="C108" s="7" t="n"/>
      <c r="D108" s="8" t="n"/>
      <c r="E108" s="8" t="n"/>
    </row>
    <row r="109">
      <c r="A109" s="7" t="n"/>
      <c r="B109" s="7" t="n"/>
      <c r="C109" s="7" t="n"/>
      <c r="D109" s="8" t="n"/>
      <c r="E109" s="8" t="n"/>
    </row>
    <row r="110">
      <c r="A110" s="7" t="n"/>
      <c r="B110" s="7" t="n"/>
      <c r="C110" s="7" t="n"/>
      <c r="D110" s="8" t="n"/>
      <c r="E110" s="8" t="n"/>
    </row>
    <row r="111">
      <c r="A111" s="7" t="n"/>
      <c r="B111" s="7" t="n"/>
      <c r="C111" s="7" t="n"/>
      <c r="D111" s="8" t="n"/>
      <c r="E111" s="8" t="n"/>
    </row>
    <row r="112">
      <c r="A112" s="7" t="n"/>
      <c r="B112" s="7" t="n"/>
      <c r="C112" s="7" t="n"/>
      <c r="D112" s="8" t="n"/>
      <c r="E112" s="8" t="n"/>
    </row>
    <row r="113">
      <c r="A113" s="7" t="n"/>
      <c r="B113" s="7" t="n"/>
      <c r="C113" s="7" t="n"/>
      <c r="D113" s="8" t="n"/>
      <c r="E113" s="8" t="n"/>
    </row>
    <row r="114">
      <c r="A114" s="7" t="n"/>
      <c r="B114" s="7" t="n"/>
      <c r="C114" s="7" t="n"/>
      <c r="D114" s="8" t="n"/>
      <c r="E114" s="8" t="n"/>
    </row>
    <row r="115">
      <c r="A115" s="7" t="n"/>
      <c r="B115" s="7" t="n"/>
      <c r="C115" s="7" t="n"/>
      <c r="D115" s="8" t="n"/>
      <c r="E115" s="8" t="n"/>
    </row>
    <row r="116">
      <c r="A116" s="7" t="n"/>
      <c r="B116" s="7" t="n"/>
      <c r="C116" s="7" t="n"/>
      <c r="D116" s="8" t="n"/>
      <c r="E116" s="8" t="n"/>
    </row>
    <row r="117">
      <c r="A117" s="7" t="n"/>
      <c r="B117" s="7" t="n"/>
      <c r="C117" s="7" t="n"/>
      <c r="D117" s="8" t="n"/>
      <c r="E117" s="8" t="n"/>
    </row>
    <row r="118">
      <c r="A118" s="7" t="n"/>
      <c r="B118" s="7" t="n"/>
      <c r="C118" s="7" t="n"/>
      <c r="D118" s="8" t="n"/>
      <c r="E118" s="8" t="n"/>
    </row>
    <row r="119">
      <c r="A119" s="7" t="n"/>
      <c r="B119" s="7" t="n"/>
      <c r="C119" s="7" t="n"/>
      <c r="D119" s="8" t="n"/>
      <c r="E119" s="8" t="n"/>
    </row>
    <row r="120">
      <c r="A120" s="7" t="n"/>
      <c r="B120" s="7" t="n"/>
      <c r="C120" s="7" t="n"/>
      <c r="D120" s="8" t="n"/>
      <c r="E120" s="8" t="n"/>
    </row>
    <row r="121">
      <c r="A121" s="7" t="n"/>
      <c r="B121" s="7" t="n"/>
      <c r="C121" s="7" t="n"/>
      <c r="D121" s="8" t="n"/>
      <c r="E121" s="8" t="n"/>
    </row>
    <row r="122">
      <c r="A122" s="7" t="n"/>
      <c r="B122" s="7" t="n"/>
      <c r="C122" s="7" t="n"/>
      <c r="D122" s="8" t="n"/>
      <c r="E122" s="8" t="n"/>
    </row>
    <row r="123">
      <c r="A123" s="7" t="n"/>
      <c r="B123" s="7" t="n"/>
      <c r="C123" s="7" t="n"/>
      <c r="D123" s="8" t="n"/>
      <c r="E123" s="8" t="n"/>
    </row>
    <row r="124">
      <c r="A124" s="7" t="n"/>
      <c r="B124" s="7" t="n"/>
      <c r="C124" s="7" t="n"/>
      <c r="D124" s="8" t="n"/>
      <c r="E124" s="8" t="n"/>
    </row>
    <row r="125">
      <c r="A125" s="7" t="n"/>
      <c r="B125" s="7" t="n"/>
      <c r="C125" s="7" t="n"/>
      <c r="D125" s="8" t="n"/>
      <c r="E125" s="8" t="n"/>
    </row>
    <row r="126">
      <c r="A126" s="7" t="n"/>
      <c r="B126" s="7" t="n"/>
      <c r="C126" s="7" t="n"/>
      <c r="D126" s="8" t="n"/>
      <c r="E126" s="8" t="n"/>
    </row>
    <row r="127">
      <c r="A127" s="7" t="n"/>
      <c r="B127" s="7" t="n"/>
      <c r="C127" s="7" t="n"/>
      <c r="D127" s="8" t="n"/>
      <c r="E127" s="8" t="n"/>
    </row>
    <row r="128">
      <c r="A128" s="7" t="n"/>
      <c r="B128" s="7" t="n"/>
      <c r="C128" s="7" t="n"/>
      <c r="D128" s="8" t="n"/>
      <c r="E128" s="8" t="n"/>
    </row>
    <row r="129">
      <c r="A129" s="7" t="n"/>
      <c r="B129" s="7" t="n"/>
      <c r="C129" s="7" t="n"/>
      <c r="D129" s="8" t="n"/>
      <c r="E129" s="8" t="n"/>
    </row>
    <row r="130">
      <c r="A130" s="7" t="n"/>
      <c r="B130" s="7" t="n"/>
      <c r="C130" s="7" t="n"/>
      <c r="D130" s="8" t="n"/>
      <c r="E130" s="8" t="n"/>
    </row>
    <row r="131">
      <c r="A131" s="7" t="n"/>
      <c r="B131" s="7" t="n"/>
      <c r="C131" s="7" t="n"/>
      <c r="D131" s="8" t="n"/>
      <c r="E131" s="8" t="n"/>
    </row>
    <row r="132">
      <c r="A132" s="7" t="n"/>
      <c r="B132" s="7" t="n"/>
      <c r="C132" s="7" t="n"/>
      <c r="D132" s="8" t="n"/>
      <c r="E132" s="8" t="n"/>
    </row>
    <row r="133">
      <c r="A133" s="7" t="n"/>
      <c r="B133" s="7" t="n"/>
      <c r="C133" s="7" t="n"/>
      <c r="D133" s="8" t="n"/>
      <c r="E133" s="8" t="n"/>
    </row>
    <row r="134">
      <c r="A134" s="7" t="n"/>
      <c r="B134" s="7" t="n"/>
      <c r="C134" s="7" t="n"/>
      <c r="D134" s="8" t="n"/>
      <c r="E134" s="8" t="n"/>
    </row>
    <row r="135">
      <c r="A135" s="7" t="n"/>
      <c r="B135" s="7" t="n"/>
      <c r="C135" s="7" t="n"/>
      <c r="D135" s="8" t="n"/>
      <c r="E135" s="8" t="n"/>
    </row>
    <row r="136">
      <c r="A136" s="7" t="n"/>
      <c r="B136" s="7" t="n"/>
      <c r="C136" s="7" t="n"/>
      <c r="D136" s="8" t="n"/>
      <c r="E136" s="8" t="n"/>
    </row>
    <row r="137">
      <c r="A137" s="7" t="n"/>
      <c r="B137" s="7" t="n"/>
      <c r="C137" s="7" t="n"/>
      <c r="D137" s="8" t="n"/>
      <c r="E137" s="8" t="n"/>
    </row>
    <row r="138">
      <c r="A138" s="7" t="n"/>
      <c r="B138" s="7" t="n"/>
      <c r="C138" s="7" t="n"/>
      <c r="D138" s="8" t="n"/>
      <c r="E138" s="8" t="n"/>
    </row>
    <row r="139">
      <c r="A139" s="7" t="n"/>
      <c r="B139" s="7" t="n"/>
      <c r="C139" s="7" t="n"/>
      <c r="D139" s="8" t="n"/>
      <c r="E139" s="8" t="n"/>
    </row>
    <row r="140">
      <c r="A140" s="7" t="n"/>
      <c r="B140" s="7" t="n"/>
      <c r="C140" s="7" t="n"/>
      <c r="D140" s="8" t="n"/>
      <c r="E140" s="8" t="n"/>
    </row>
    <row r="141">
      <c r="A141" s="7" t="n"/>
      <c r="B141" s="7" t="n"/>
      <c r="C141" s="7" t="n"/>
      <c r="D141" s="8" t="n"/>
      <c r="E141" s="8" t="n"/>
    </row>
    <row r="142">
      <c r="A142" s="7" t="n"/>
      <c r="B142" s="7" t="n"/>
      <c r="C142" s="7" t="n"/>
      <c r="D142" s="8" t="n"/>
      <c r="E142" s="8" t="n"/>
    </row>
    <row r="143">
      <c r="A143" s="7" t="n"/>
      <c r="B143" s="7" t="n"/>
      <c r="C143" s="7" t="n"/>
      <c r="D143" s="8" t="n"/>
      <c r="E143" s="8" t="n"/>
    </row>
    <row r="144">
      <c r="A144" s="7" t="n"/>
      <c r="B144" s="7" t="n"/>
      <c r="C144" s="7" t="n"/>
      <c r="D144" s="8" t="n"/>
      <c r="E144" s="8" t="n"/>
    </row>
    <row r="145">
      <c r="A145" s="7" t="n"/>
      <c r="B145" s="7" t="n"/>
      <c r="C145" s="7" t="n"/>
      <c r="D145" s="8" t="n"/>
      <c r="E145" s="8" t="n"/>
    </row>
    <row r="146">
      <c r="A146" s="7" t="n"/>
      <c r="B146" s="7" t="n"/>
      <c r="C146" s="7" t="n"/>
      <c r="D146" s="8" t="n"/>
      <c r="E146" s="8" t="n"/>
    </row>
    <row r="147">
      <c r="A147" s="7" t="n"/>
      <c r="B147" s="7" t="n"/>
      <c r="C147" s="7" t="n"/>
      <c r="D147" s="8" t="n"/>
      <c r="E147" s="8" t="n"/>
    </row>
    <row r="148">
      <c r="A148" s="7" t="n"/>
      <c r="B148" s="7" t="n"/>
      <c r="C148" s="7" t="n"/>
      <c r="D148" s="8" t="n"/>
      <c r="E148" s="8" t="n"/>
    </row>
    <row r="149">
      <c r="A149" s="7" t="n"/>
      <c r="B149" s="7" t="n"/>
      <c r="C149" s="7" t="n"/>
      <c r="D149" s="8" t="n"/>
      <c r="E149" s="8" t="n"/>
    </row>
    <row r="150">
      <c r="A150" s="7" t="n"/>
      <c r="B150" s="7" t="n"/>
      <c r="C150" s="7" t="n"/>
      <c r="D150" s="8" t="n"/>
      <c r="E150" s="8" t="n"/>
    </row>
    <row r="151">
      <c r="A151" s="7" t="n"/>
      <c r="B151" s="7" t="n"/>
      <c r="C151" s="7" t="n"/>
      <c r="D151" s="8" t="n"/>
      <c r="E151" s="8" t="n"/>
    </row>
    <row r="152">
      <c r="A152" s="7" t="n"/>
      <c r="B152" s="7" t="n"/>
      <c r="C152" s="7" t="n"/>
      <c r="D152" s="8" t="n"/>
      <c r="E152" s="8" t="n"/>
    </row>
    <row r="153">
      <c r="A153" s="7" t="n"/>
      <c r="B153" s="7" t="n"/>
      <c r="C153" s="7" t="n"/>
      <c r="D153" s="8" t="n"/>
      <c r="E153" s="8" t="n"/>
    </row>
    <row r="154">
      <c r="A154" s="7" t="n"/>
      <c r="B154" s="7" t="n"/>
      <c r="C154" s="7" t="n"/>
      <c r="D154" s="8" t="n"/>
      <c r="E154" s="8" t="n"/>
    </row>
    <row r="155">
      <c r="A155" s="7" t="n"/>
      <c r="B155" s="7" t="n"/>
      <c r="C155" s="7" t="n"/>
      <c r="D155" s="8" t="n"/>
      <c r="E155" s="8" t="n"/>
    </row>
    <row r="156">
      <c r="A156" s="7" t="n"/>
      <c r="B156" s="7" t="n"/>
      <c r="C156" s="7" t="n"/>
      <c r="D156" s="8" t="n"/>
      <c r="E156" s="8" t="n"/>
    </row>
    <row r="157">
      <c r="A157" s="7" t="n"/>
      <c r="B157" s="7" t="n"/>
      <c r="C157" s="7" t="n"/>
      <c r="D157" s="8" t="n"/>
      <c r="E157" s="8" t="n"/>
    </row>
    <row r="158">
      <c r="A158" s="7" t="n"/>
      <c r="B158" s="7" t="n"/>
      <c r="C158" s="7" t="n"/>
      <c r="D158" s="8" t="n"/>
      <c r="E158" s="8" t="n"/>
    </row>
    <row r="159">
      <c r="A159" s="7" t="n"/>
      <c r="B159" s="7" t="n"/>
      <c r="C159" s="7" t="n"/>
      <c r="D159" s="8" t="n"/>
      <c r="E159" s="8" t="n"/>
    </row>
    <row r="160">
      <c r="A160" s="7" t="n"/>
      <c r="B160" s="7" t="n"/>
      <c r="C160" s="7" t="n"/>
      <c r="D160" s="8" t="n"/>
      <c r="E160" s="8" t="n"/>
    </row>
    <row r="161">
      <c r="A161" s="7" t="n"/>
      <c r="B161" s="7" t="n"/>
      <c r="C161" s="7" t="n"/>
      <c r="D161" s="8" t="n"/>
      <c r="E161" s="8" t="n"/>
    </row>
    <row r="162">
      <c r="A162" s="7" t="n"/>
      <c r="B162" s="7" t="n"/>
      <c r="C162" s="7" t="n"/>
      <c r="D162" s="8" t="n"/>
      <c r="E162" s="8" t="n"/>
    </row>
    <row r="163">
      <c r="A163" s="7" t="n"/>
      <c r="B163" s="7" t="n"/>
      <c r="C163" s="7" t="n"/>
      <c r="D163" s="8" t="n"/>
      <c r="E163" s="8" t="n"/>
    </row>
    <row r="164">
      <c r="A164" s="7" t="n"/>
      <c r="B164" s="7" t="n"/>
      <c r="C164" s="7" t="n"/>
      <c r="D164" s="8" t="n"/>
      <c r="E164" s="8" t="n"/>
    </row>
    <row r="165">
      <c r="A165" s="7" t="n"/>
      <c r="B165" s="7" t="n"/>
      <c r="C165" s="7" t="n"/>
      <c r="D165" s="8" t="n"/>
      <c r="E165" s="8" t="n"/>
    </row>
    <row r="166">
      <c r="A166" s="7" t="n"/>
      <c r="B166" s="7" t="n"/>
      <c r="C166" s="7" t="n"/>
      <c r="D166" s="8" t="n"/>
      <c r="E166" s="8" t="n"/>
    </row>
    <row r="167">
      <c r="A167" s="7" t="n"/>
      <c r="B167" s="7" t="n"/>
      <c r="C167" s="7" t="n"/>
      <c r="D167" s="8" t="n"/>
      <c r="E167" s="8" t="n"/>
    </row>
    <row r="168">
      <c r="A168" s="7" t="n"/>
      <c r="B168" s="7" t="n"/>
      <c r="C168" s="7" t="n"/>
      <c r="D168" s="8" t="n"/>
      <c r="E168" s="8" t="n"/>
    </row>
    <row r="169">
      <c r="A169" s="7" t="n"/>
      <c r="B169" s="7" t="n"/>
      <c r="C169" s="7" t="n"/>
      <c r="D169" s="8" t="n"/>
      <c r="E169" s="8" t="n"/>
    </row>
    <row r="170">
      <c r="A170" s="7" t="n"/>
      <c r="B170" s="7" t="n"/>
      <c r="C170" s="7" t="n"/>
      <c r="D170" s="8" t="n"/>
      <c r="E170" s="8" t="n"/>
    </row>
    <row r="171">
      <c r="A171" s="7" t="n"/>
      <c r="B171" s="7" t="n"/>
      <c r="C171" s="7" t="n"/>
      <c r="D171" s="8" t="n"/>
      <c r="E171" s="8" t="n"/>
    </row>
    <row r="172">
      <c r="A172" s="7" t="n"/>
      <c r="B172" s="7" t="n"/>
      <c r="C172" s="7" t="n"/>
      <c r="D172" s="8" t="n"/>
      <c r="E172" s="8" t="n"/>
    </row>
    <row r="173">
      <c r="A173" s="7" t="n"/>
      <c r="B173" s="7" t="n"/>
      <c r="C173" s="7" t="n"/>
      <c r="D173" s="8" t="n"/>
      <c r="E173" s="8" t="n"/>
    </row>
    <row r="174">
      <c r="A174" s="7" t="n"/>
      <c r="B174" s="7" t="n"/>
      <c r="C174" s="7" t="n"/>
      <c r="D174" s="8" t="n"/>
      <c r="E174" s="8" t="n"/>
    </row>
    <row r="175">
      <c r="A175" s="7" t="n"/>
      <c r="B175" s="7" t="n"/>
      <c r="C175" s="7" t="n"/>
      <c r="D175" s="8" t="n"/>
      <c r="E175" s="8" t="n"/>
    </row>
    <row r="176">
      <c r="A176" s="7" t="n"/>
      <c r="B176" s="7" t="n"/>
      <c r="C176" s="7" t="n"/>
      <c r="D176" s="8" t="n"/>
      <c r="E176" s="8" t="n"/>
    </row>
    <row r="177">
      <c r="A177" s="7" t="n"/>
      <c r="B177" s="7" t="n"/>
      <c r="C177" s="7" t="n"/>
      <c r="D177" s="8" t="n"/>
      <c r="E177" s="8" t="n"/>
    </row>
    <row r="178">
      <c r="A178" s="7" t="n"/>
      <c r="B178" s="7" t="n"/>
      <c r="C178" s="7" t="n"/>
      <c r="D178" s="8" t="n"/>
      <c r="E178" s="8" t="n"/>
    </row>
    <row r="179">
      <c r="A179" s="7" t="n"/>
      <c r="B179" s="7" t="n"/>
      <c r="C179" s="7" t="n"/>
      <c r="D179" s="8" t="n"/>
      <c r="E179" s="8" t="n"/>
    </row>
    <row r="180">
      <c r="A180" s="7" t="n"/>
      <c r="B180" s="7" t="n"/>
      <c r="C180" s="7" t="n"/>
      <c r="D180" s="8" t="n"/>
      <c r="E180" s="8" t="n"/>
    </row>
    <row r="181">
      <c r="A181" s="7" t="n"/>
      <c r="B181" s="7" t="n"/>
      <c r="C181" s="7" t="n"/>
      <c r="D181" s="8" t="n"/>
      <c r="E181" s="8" t="n"/>
    </row>
    <row r="182">
      <c r="A182" s="7" t="n"/>
      <c r="B182" s="7" t="n"/>
      <c r="C182" s="7" t="n"/>
      <c r="D182" s="8" t="n"/>
      <c r="E182" s="8" t="n"/>
    </row>
    <row r="183">
      <c r="A183" s="7" t="n"/>
      <c r="B183" s="7" t="n"/>
      <c r="C183" s="7" t="n"/>
      <c r="D183" s="8" t="n"/>
      <c r="E183" s="8" t="n"/>
    </row>
    <row r="184">
      <c r="A184" s="7" t="n"/>
      <c r="B184" s="7" t="n"/>
      <c r="C184" s="7" t="n"/>
      <c r="D184" s="8" t="n"/>
      <c r="E184" s="8" t="n"/>
    </row>
    <row r="185">
      <c r="A185" s="7" t="n"/>
      <c r="B185" s="7" t="n"/>
      <c r="C185" s="7" t="n"/>
      <c r="D185" s="8" t="n"/>
      <c r="E185" s="8" t="n"/>
    </row>
    <row r="186">
      <c r="A186" s="7" t="n"/>
      <c r="B186" s="7" t="n"/>
      <c r="C186" s="7" t="n"/>
      <c r="D186" s="8" t="n"/>
      <c r="E186" s="8" t="n"/>
    </row>
    <row r="187">
      <c r="A187" s="7" t="n"/>
      <c r="B187" s="7" t="n"/>
      <c r="C187" s="7" t="n"/>
      <c r="D187" s="8" t="n"/>
      <c r="E187" s="8" t="n"/>
    </row>
    <row r="188">
      <c r="A188" s="7" t="n"/>
      <c r="B188" s="7" t="n"/>
      <c r="C188" s="7" t="n"/>
      <c r="D188" s="8" t="n"/>
      <c r="E188" s="8" t="n"/>
    </row>
    <row r="189">
      <c r="A189" s="7" t="n"/>
      <c r="B189" s="7" t="n"/>
      <c r="C189" s="7" t="n"/>
      <c r="D189" s="8" t="n"/>
      <c r="E189" s="8" t="n"/>
    </row>
    <row r="190">
      <c r="A190" s="7" t="n"/>
      <c r="B190" s="7" t="n"/>
      <c r="C190" s="7" t="n"/>
      <c r="D190" s="8" t="n"/>
      <c r="E190" s="8" t="n"/>
    </row>
    <row r="191">
      <c r="A191" s="7" t="n"/>
      <c r="B191" s="7" t="n"/>
      <c r="C191" s="7" t="n"/>
      <c r="D191" s="8" t="n"/>
      <c r="E191" s="8" t="n"/>
    </row>
    <row r="192">
      <c r="A192" s="7" t="n"/>
      <c r="B192" s="7" t="n"/>
      <c r="C192" s="7" t="n"/>
      <c r="D192" s="8" t="n"/>
      <c r="E192" s="8" t="n"/>
    </row>
    <row r="193">
      <c r="A193" s="7" t="n"/>
      <c r="B193" s="7" t="n"/>
      <c r="C193" s="7" t="n"/>
      <c r="D193" s="8" t="n"/>
      <c r="E193" s="8" t="n"/>
    </row>
    <row r="194">
      <c r="A194" s="7" t="n"/>
      <c r="B194" s="7" t="n"/>
      <c r="C194" s="7" t="n"/>
      <c r="D194" s="8" t="n"/>
      <c r="E194" s="8" t="n"/>
    </row>
    <row r="195">
      <c r="A195" s="7" t="n"/>
      <c r="B195" s="7" t="n"/>
      <c r="C195" s="7" t="n"/>
      <c r="D195" s="8" t="n"/>
      <c r="E195" s="8" t="n"/>
    </row>
    <row r="196">
      <c r="A196" s="7" t="n"/>
      <c r="B196" s="7" t="n"/>
      <c r="C196" s="7" t="n"/>
      <c r="D196" s="8" t="n"/>
      <c r="E196" s="8" t="n"/>
    </row>
    <row r="197">
      <c r="A197" s="7" t="n"/>
      <c r="B197" s="7" t="n"/>
      <c r="C197" s="7" t="n"/>
      <c r="D197" s="8" t="n"/>
      <c r="E197" s="8" t="n"/>
    </row>
    <row r="198">
      <c r="A198" s="7" t="n"/>
      <c r="B198" s="7" t="n"/>
      <c r="C198" s="7" t="n"/>
      <c r="D198" s="8" t="n"/>
      <c r="E198" s="8" t="n"/>
    </row>
    <row r="199">
      <c r="A199" s="7" t="n"/>
      <c r="B199" s="7" t="n"/>
      <c r="C199" s="7" t="n"/>
      <c r="D199" s="8" t="n"/>
      <c r="E199" s="8" t="n"/>
    </row>
    <row r="200">
      <c r="A200" s="7" t="n"/>
      <c r="B200" s="7" t="n"/>
      <c r="C200" s="7" t="n"/>
      <c r="D200" s="8" t="n"/>
      <c r="E200" s="8" t="n"/>
    </row>
    <row r="201">
      <c r="A201" s="7" t="n"/>
      <c r="B201" s="7" t="n"/>
      <c r="C201" s="7" t="n"/>
      <c r="D201" s="8" t="n"/>
      <c r="E201" s="8" t="n"/>
    </row>
    <row r="202">
      <c r="A202" s="7" t="n"/>
      <c r="B202" s="7" t="n"/>
      <c r="C202" s="7" t="n"/>
      <c r="D202" s="8" t="n"/>
      <c r="E202" s="8" t="n"/>
    </row>
    <row r="203">
      <c r="A203" s="7" t="n"/>
      <c r="B203" s="7" t="n"/>
      <c r="C203" s="7" t="n"/>
      <c r="D203" s="8" t="n"/>
      <c r="E203" s="8" t="n"/>
    </row>
    <row r="204">
      <c r="A204" s="7" t="n"/>
      <c r="B204" s="7" t="n"/>
      <c r="C204" s="7" t="n"/>
      <c r="D204" s="8" t="n"/>
      <c r="E204" s="8" t="n"/>
    </row>
    <row r="205">
      <c r="A205" s="7" t="n"/>
      <c r="B205" s="7" t="n"/>
      <c r="C205" s="7" t="n"/>
      <c r="D205" s="8" t="n"/>
      <c r="E205" s="8" t="n"/>
    </row>
    <row r="206">
      <c r="A206" s="7" t="n"/>
      <c r="B206" s="7" t="n"/>
      <c r="C206" s="7" t="n"/>
      <c r="D206" s="8" t="n"/>
      <c r="E206" s="8" t="n"/>
    </row>
    <row r="207">
      <c r="A207" s="7" t="n"/>
      <c r="B207" s="7" t="n"/>
      <c r="C207" s="7" t="n"/>
      <c r="D207" s="8" t="n"/>
      <c r="E207" s="8" t="n"/>
    </row>
    <row r="208">
      <c r="A208" s="7" t="n"/>
      <c r="B208" s="7" t="n"/>
      <c r="C208" s="7" t="n"/>
      <c r="D208" s="8" t="n"/>
      <c r="E208" s="8" t="n"/>
    </row>
    <row r="209">
      <c r="A209" s="7" t="n"/>
      <c r="B209" s="7" t="n"/>
      <c r="C209" s="7" t="n"/>
      <c r="D209" s="8" t="n"/>
      <c r="E209" s="8" t="n"/>
    </row>
    <row r="210">
      <c r="A210" s="7" t="n"/>
      <c r="B210" s="7" t="n"/>
      <c r="C210" s="7" t="n"/>
      <c r="D210" s="8" t="n"/>
      <c r="E210" s="8" t="n"/>
    </row>
    <row r="211">
      <c r="A211" s="7" t="n"/>
      <c r="B211" s="7" t="n"/>
      <c r="C211" s="7" t="n"/>
      <c r="D211" s="8" t="n"/>
      <c r="E211" s="8" t="n"/>
    </row>
    <row r="212">
      <c r="A212" s="7" t="n"/>
      <c r="B212" s="7" t="n"/>
      <c r="C212" s="7" t="n"/>
      <c r="D212" s="8" t="n"/>
      <c r="E212" s="8" t="n"/>
    </row>
    <row r="213">
      <c r="A213" s="7" t="n"/>
      <c r="B213" s="7" t="n"/>
      <c r="C213" s="7" t="n"/>
      <c r="D213" s="8" t="n"/>
      <c r="E213" s="8" t="n"/>
    </row>
    <row r="214">
      <c r="A214" s="7" t="n"/>
      <c r="B214" s="7" t="n"/>
      <c r="C214" s="7" t="n"/>
      <c r="D214" s="8" t="n"/>
      <c r="E214" s="8" t="n"/>
    </row>
    <row r="215">
      <c r="A215" s="7" t="n"/>
      <c r="B215" s="7" t="n"/>
      <c r="C215" s="7" t="n"/>
      <c r="D215" s="8" t="n"/>
      <c r="E215" s="8" t="n"/>
    </row>
    <row r="216">
      <c r="A216" s="7" t="n"/>
      <c r="B216" s="7" t="n"/>
      <c r="C216" s="7" t="n"/>
      <c r="D216" s="8" t="n"/>
      <c r="E216" s="8" t="n"/>
    </row>
    <row r="217">
      <c r="A217" s="7" t="n"/>
      <c r="B217" s="7" t="n"/>
      <c r="C217" s="7" t="n"/>
      <c r="D217" s="8" t="n"/>
      <c r="E217" s="8" t="n"/>
    </row>
    <row r="218">
      <c r="A218" s="7" t="n"/>
      <c r="B218" s="7" t="n"/>
      <c r="C218" s="7" t="n"/>
      <c r="D218" s="8" t="n"/>
      <c r="E218" s="8" t="n"/>
    </row>
    <row r="219">
      <c r="A219" s="7" t="n"/>
      <c r="B219" s="7" t="n"/>
      <c r="C219" s="7" t="n"/>
      <c r="D219" s="8" t="n"/>
      <c r="E219" s="8" t="n"/>
    </row>
    <row r="220">
      <c r="A220" s="7" t="n"/>
      <c r="B220" s="7" t="n"/>
      <c r="C220" s="7" t="n"/>
      <c r="D220" s="8" t="n"/>
      <c r="E220" s="8" t="n"/>
    </row>
    <row r="221">
      <c r="A221" s="7" t="n"/>
      <c r="B221" s="7" t="n"/>
      <c r="C221" s="7" t="n"/>
      <c r="D221" s="8" t="n"/>
      <c r="E221" s="8" t="n"/>
    </row>
    <row r="222">
      <c r="A222" s="7" t="n"/>
      <c r="B222" s="7" t="n"/>
      <c r="C222" s="7" t="n"/>
      <c r="D222" s="8" t="n"/>
      <c r="E222" s="8" t="n"/>
    </row>
    <row r="223">
      <c r="A223" s="7" t="n"/>
      <c r="B223" s="7" t="n"/>
      <c r="C223" s="7" t="n"/>
      <c r="D223" s="8" t="n"/>
      <c r="E223" s="8" t="n"/>
    </row>
    <row r="224">
      <c r="A224" s="7" t="n"/>
      <c r="B224" s="7" t="n"/>
      <c r="C224" s="7" t="n"/>
      <c r="D224" s="8" t="n"/>
      <c r="E224" s="8" t="n"/>
    </row>
    <row r="225">
      <c r="A225" s="7" t="n"/>
      <c r="B225" s="7" t="n"/>
      <c r="C225" s="7" t="n"/>
      <c r="D225" s="8" t="n"/>
      <c r="E225" s="8" t="n"/>
    </row>
    <row r="226">
      <c r="A226" s="7" t="n"/>
      <c r="B226" s="7" t="n"/>
      <c r="C226" s="7" t="n"/>
      <c r="D226" s="8" t="n"/>
      <c r="E226" s="8" t="n"/>
    </row>
    <row r="227">
      <c r="A227" s="7" t="n"/>
      <c r="B227" s="7" t="n"/>
      <c r="C227" s="7" t="n"/>
      <c r="D227" s="8" t="n"/>
      <c r="E227" s="8" t="n"/>
    </row>
    <row r="228">
      <c r="A228" s="7" t="n"/>
      <c r="B228" s="7" t="n"/>
      <c r="C228" s="7" t="n"/>
      <c r="D228" s="8" t="n"/>
      <c r="E228" s="8" t="n"/>
    </row>
    <row r="229">
      <c r="A229" s="7" t="n"/>
      <c r="B229" s="7" t="n"/>
      <c r="C229" s="7" t="n"/>
      <c r="D229" s="8" t="n"/>
      <c r="E229" s="8" t="n"/>
    </row>
    <row r="230">
      <c r="A230" s="7" t="n"/>
      <c r="B230" s="7" t="n"/>
      <c r="C230" s="7" t="n"/>
      <c r="D230" s="8" t="n"/>
      <c r="E230" s="8" t="n"/>
    </row>
    <row r="231">
      <c r="A231" s="7" t="n"/>
      <c r="B231" s="7" t="n"/>
      <c r="C231" s="7" t="n"/>
      <c r="D231" s="8" t="n"/>
      <c r="E231" s="8" t="n"/>
    </row>
    <row r="232">
      <c r="A232" s="7" t="n"/>
      <c r="B232" s="7" t="n"/>
      <c r="C232" s="7" t="n"/>
      <c r="D232" s="8" t="n"/>
      <c r="E232" s="8" t="n"/>
    </row>
    <row r="233">
      <c r="A233" s="7" t="n"/>
      <c r="B233" s="7" t="n"/>
      <c r="C233" s="7" t="n"/>
      <c r="D233" s="8" t="n"/>
      <c r="E233" s="8" t="n"/>
    </row>
    <row r="234">
      <c r="A234" s="7" t="n"/>
      <c r="B234" s="7" t="n"/>
      <c r="C234" s="7" t="n"/>
      <c r="D234" s="8" t="n"/>
      <c r="E234" s="8" t="n"/>
    </row>
    <row r="235">
      <c r="A235" s="7" t="n"/>
      <c r="B235" s="7" t="n"/>
      <c r="C235" s="7" t="n"/>
      <c r="D235" s="8" t="n"/>
      <c r="E235" s="8" t="n"/>
    </row>
    <row r="236">
      <c r="A236" s="7" t="n"/>
      <c r="B236" s="7" t="n"/>
      <c r="C236" s="7" t="n"/>
      <c r="D236" s="8" t="n"/>
      <c r="E236" s="8" t="n"/>
    </row>
    <row r="237">
      <c r="A237" s="7" t="n"/>
      <c r="B237" s="7" t="n"/>
      <c r="C237" s="7" t="n"/>
      <c r="D237" s="8" t="n"/>
      <c r="E237" s="8" t="n"/>
    </row>
    <row r="238">
      <c r="A238" s="7" t="n"/>
      <c r="B238" s="7" t="n"/>
      <c r="C238" s="7" t="n"/>
      <c r="D238" s="8" t="n"/>
      <c r="E238" s="8" t="n"/>
    </row>
    <row r="239">
      <c r="A239" s="7" t="n"/>
      <c r="B239" s="7" t="n"/>
      <c r="C239" s="7" t="n"/>
      <c r="D239" s="8" t="n"/>
      <c r="E239" s="8" t="n"/>
    </row>
    <row r="240">
      <c r="A240" s="7" t="n"/>
      <c r="B240" s="7" t="n"/>
      <c r="C240" s="7" t="n"/>
      <c r="D240" s="8" t="n"/>
      <c r="E240" s="8" t="n"/>
    </row>
    <row r="241">
      <c r="A241" s="7" t="n"/>
      <c r="B241" s="7" t="n"/>
      <c r="C241" s="7" t="n"/>
      <c r="D241" s="8" t="n"/>
      <c r="E241" s="8" t="n"/>
    </row>
    <row r="242">
      <c r="A242" s="7" t="n"/>
      <c r="B242" s="7" t="n"/>
      <c r="C242" s="7" t="n"/>
      <c r="D242" s="8" t="n"/>
      <c r="E242" s="8" t="n"/>
    </row>
    <row r="243">
      <c r="A243" s="7" t="n"/>
      <c r="B243" s="7" t="n"/>
      <c r="C243" s="7" t="n"/>
      <c r="D243" s="8" t="n"/>
      <c r="E243" s="8" t="n"/>
    </row>
    <row r="244">
      <c r="A244" s="7" t="n"/>
      <c r="B244" s="7" t="n"/>
      <c r="C244" s="7" t="n"/>
      <c r="D244" s="8" t="n"/>
      <c r="E244" s="8" t="n"/>
    </row>
    <row r="245">
      <c r="A245" s="7" t="n"/>
      <c r="B245" s="7" t="n"/>
      <c r="C245" s="7" t="n"/>
      <c r="D245" s="8" t="n"/>
      <c r="E245" s="8" t="n"/>
    </row>
    <row r="246">
      <c r="A246" s="7" t="n"/>
      <c r="B246" s="7" t="n"/>
      <c r="C246" s="7" t="n"/>
      <c r="D246" s="8" t="n"/>
      <c r="E246" s="8" t="n"/>
    </row>
    <row r="247">
      <c r="A247" s="7" t="n"/>
      <c r="B247" s="7" t="n"/>
      <c r="C247" s="7" t="n"/>
      <c r="D247" s="8" t="n"/>
      <c r="E247" s="8" t="n"/>
    </row>
    <row r="248">
      <c r="A248" s="7" t="n"/>
      <c r="B248" s="7" t="n"/>
      <c r="C248" s="7" t="n"/>
      <c r="D248" s="8" t="n"/>
      <c r="E248" s="8" t="n"/>
    </row>
    <row r="249">
      <c r="A249" s="7" t="n"/>
      <c r="B249" s="7" t="n"/>
      <c r="C249" s="7" t="n"/>
      <c r="D249" s="8" t="n"/>
      <c r="E249" s="8" t="n"/>
    </row>
    <row r="250">
      <c r="A250" s="7" t="n"/>
      <c r="B250" s="7" t="n"/>
      <c r="C250" s="7" t="n"/>
      <c r="D250" s="8" t="n"/>
      <c r="E250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808080"/>
    <outlinePr summaryBelow="1" summaryRight="1"/>
    <pageSetUpPr/>
  </sheetPr>
  <dimension ref="A1:T250"/>
  <sheetViews>
    <sheetView workbookViewId="0">
      <selection activeCell="A1" sqref="A1"/>
    </sheetView>
  </sheetViews>
  <sheetFormatPr baseColWidth="8" defaultRowHeight="15"/>
  <sheetData>
    <row r="1">
      <c r="A1">
        <f>IF(Draft_Import!D2&lt;&gt;"",Draft_Import!D2,"Team 1")</f>
        <v/>
      </c>
      <c r="C1">
        <f>IF(Draft_Import!D3&lt;&gt;"",Draft_Import!D3,"Team 2")</f>
        <v/>
      </c>
      <c r="E1">
        <f>IF(Draft_Import!D4&lt;&gt;"",Draft_Import!D4,"Team 3")</f>
        <v/>
      </c>
      <c r="G1">
        <f>IF(Draft_Import!D5&lt;&gt;"",Draft_Import!D5,"Team 4")</f>
        <v/>
      </c>
      <c r="I1">
        <f>IF(Draft_Import!D6&lt;&gt;"",Draft_Import!D6,"Team 5")</f>
        <v/>
      </c>
      <c r="K1">
        <f>IF(Draft_Import!D7&lt;&gt;"",Draft_Import!D7,"Team 6")</f>
        <v/>
      </c>
      <c r="M1">
        <f>IF(Draft_Import!D8&lt;&gt;"",Draft_Import!D8,"Team 7")</f>
        <v/>
      </c>
      <c r="O1">
        <f>IF(Draft_Import!D9&lt;&gt;"",Draft_Import!D9,"Team 8")</f>
        <v/>
      </c>
      <c r="Q1">
        <f>IF(Draft_Import!D10&lt;&gt;"",Draft_Import!D10,"Team 9")</f>
        <v/>
      </c>
      <c r="S1">
        <f>IF(Draft_Import!D11&lt;&gt;"",Draft_Import!D11,"Team 10")</f>
        <v/>
      </c>
    </row>
    <row r="2">
      <c r="A2">
        <f>IF(Draft_Import!$D2=A$1,COUNTIF(Draft_Import!$D$2:'Draft_Import'!$D2,A$1),"")</f>
        <v/>
      </c>
      <c r="B2">
        <f>IFERROR(INDEX(Draft_Import!$E$2:$E$250,MATCH(ROWS(B$2:B2),A$2:A$250,0)),"")</f>
        <v/>
      </c>
      <c r="C2">
        <f>IF(Draft_Import!$D2=C$1,COUNTIF(Draft_Import!$D$2:'Draft_Import'!$D2,C$1),"")</f>
        <v/>
      </c>
      <c r="D2">
        <f>IFERROR(INDEX(Draft_Import!$E$2:$E$250,MATCH(ROWS(D$2:D2),C$2:C$250,0)),"")</f>
        <v/>
      </c>
      <c r="E2">
        <f>IF(Draft_Import!$D2=E$1,COUNTIF(Draft_Import!$D$2:'Draft_Import'!$D2,E$1),"")</f>
        <v/>
      </c>
      <c r="F2">
        <f>IFERROR(INDEX(Draft_Import!$E$2:$E$250,MATCH(ROWS(F$2:F2),E$2:E$250,0)),"")</f>
        <v/>
      </c>
      <c r="G2">
        <f>IF(Draft_Import!$D2=G$1,COUNTIF(Draft_Import!$D$2:'Draft_Import'!$D2,G$1),"")</f>
        <v/>
      </c>
      <c r="H2">
        <f>IFERROR(INDEX(Draft_Import!$E$2:$E$250,MATCH(ROWS(H$2:H2),G$2:G$250,0)),"")</f>
        <v/>
      </c>
      <c r="I2">
        <f>IF(Draft_Import!$D2=I$1,COUNTIF(Draft_Import!$D$2:'Draft_Import'!$D2,I$1),"")</f>
        <v/>
      </c>
      <c r="J2">
        <f>IFERROR(INDEX(Draft_Import!$E$2:$E$250,MATCH(ROWS(J$2:J2),I$2:I$250,0)),"")</f>
        <v/>
      </c>
      <c r="K2">
        <f>IF(Draft_Import!$D2=K$1,COUNTIF(Draft_Import!$D$2:'Draft_Import'!$D2,K$1),"")</f>
        <v/>
      </c>
      <c r="L2">
        <f>IFERROR(INDEX(Draft_Import!$E$2:$E$250,MATCH(ROWS(L$2:L2),K$2:K$250,0)),"")</f>
        <v/>
      </c>
      <c r="M2">
        <f>IF(Draft_Import!$D2=M$1,COUNTIF(Draft_Import!$D$2:'Draft_Import'!$D2,M$1),"")</f>
        <v/>
      </c>
      <c r="N2">
        <f>IFERROR(INDEX(Draft_Import!$E$2:$E$250,MATCH(ROWS(N$2:N2),M$2:M$250,0)),"")</f>
        <v/>
      </c>
      <c r="O2">
        <f>IF(Draft_Import!$D2=O$1,COUNTIF(Draft_Import!$D$2:'Draft_Import'!$D2,O$1),"")</f>
        <v/>
      </c>
      <c r="P2">
        <f>IFERROR(INDEX(Draft_Import!$E$2:$E$250,MATCH(ROWS(P$2:P2),O$2:O$250,0)),"")</f>
        <v/>
      </c>
      <c r="Q2">
        <f>IF(Draft_Import!$D2=Q$1,COUNTIF(Draft_Import!$D$2:'Draft_Import'!$D2,Q$1),"")</f>
        <v/>
      </c>
      <c r="R2">
        <f>IFERROR(INDEX(Draft_Import!$E$2:$E$250,MATCH(ROWS(R$2:R2),Q$2:Q$250,0)),"")</f>
        <v/>
      </c>
      <c r="S2">
        <f>IF(Draft_Import!$D2=S$1,COUNTIF(Draft_Import!$D$2:'Draft_Import'!$D2,S$1),"")</f>
        <v/>
      </c>
      <c r="T2">
        <f>IFERROR(INDEX(Draft_Import!$E$2:$E$250,MATCH(ROWS(T$2:T2),S$2:S$250,0)),"")</f>
        <v/>
      </c>
    </row>
    <row r="3">
      <c r="A3">
        <f>IF(Draft_Import!$D3=A$1,COUNTIF(Draft_Import!$D$2:'Draft_Import'!$D3,A$1),"")</f>
        <v/>
      </c>
      <c r="B3">
        <f>IFERROR(INDEX(Draft_Import!$E$2:$E$250,MATCH(ROWS(B$2:B3),A$2:A$250,0)),"")</f>
        <v/>
      </c>
      <c r="C3">
        <f>IF(Draft_Import!$D3=C$1,COUNTIF(Draft_Import!$D$2:'Draft_Import'!$D3,C$1),"")</f>
        <v/>
      </c>
      <c r="D3">
        <f>IFERROR(INDEX(Draft_Import!$E$2:$E$250,MATCH(ROWS(D$2:D3),C$2:C$250,0)),"")</f>
        <v/>
      </c>
      <c r="E3">
        <f>IF(Draft_Import!$D3=E$1,COUNTIF(Draft_Import!$D$2:'Draft_Import'!$D3,E$1),"")</f>
        <v/>
      </c>
      <c r="F3">
        <f>IFERROR(INDEX(Draft_Import!$E$2:$E$250,MATCH(ROWS(F$2:F3),E$2:E$250,0)),"")</f>
        <v/>
      </c>
      <c r="G3">
        <f>IF(Draft_Import!$D3=G$1,COUNTIF(Draft_Import!$D$2:'Draft_Import'!$D3,G$1),"")</f>
        <v/>
      </c>
      <c r="H3">
        <f>IFERROR(INDEX(Draft_Import!$E$2:$E$250,MATCH(ROWS(H$2:H3),G$2:G$250,0)),"")</f>
        <v/>
      </c>
      <c r="I3">
        <f>IF(Draft_Import!$D3=I$1,COUNTIF(Draft_Import!$D$2:'Draft_Import'!$D3,I$1),"")</f>
        <v/>
      </c>
      <c r="J3">
        <f>IFERROR(INDEX(Draft_Import!$E$2:$E$250,MATCH(ROWS(J$2:J3),I$2:I$250,0)),"")</f>
        <v/>
      </c>
      <c r="K3">
        <f>IF(Draft_Import!$D3=K$1,COUNTIF(Draft_Import!$D$2:'Draft_Import'!$D3,K$1),"")</f>
        <v/>
      </c>
      <c r="L3">
        <f>IFERROR(INDEX(Draft_Import!$E$2:$E$250,MATCH(ROWS(L$2:L3),K$2:K$250,0)),"")</f>
        <v/>
      </c>
      <c r="M3">
        <f>IF(Draft_Import!$D3=M$1,COUNTIF(Draft_Import!$D$2:'Draft_Import'!$D3,M$1),"")</f>
        <v/>
      </c>
      <c r="N3">
        <f>IFERROR(INDEX(Draft_Import!$E$2:$E$250,MATCH(ROWS(N$2:N3),M$2:M$250,0)),"")</f>
        <v/>
      </c>
      <c r="O3">
        <f>IF(Draft_Import!$D3=O$1,COUNTIF(Draft_Import!$D$2:'Draft_Import'!$D3,O$1),"")</f>
        <v/>
      </c>
      <c r="P3">
        <f>IFERROR(INDEX(Draft_Import!$E$2:$E$250,MATCH(ROWS(P$2:P3),O$2:O$250,0)),"")</f>
        <v/>
      </c>
      <c r="Q3">
        <f>IF(Draft_Import!$D3=Q$1,COUNTIF(Draft_Import!$D$2:'Draft_Import'!$D3,Q$1),"")</f>
        <v/>
      </c>
      <c r="R3">
        <f>IFERROR(INDEX(Draft_Import!$E$2:$E$250,MATCH(ROWS(R$2:R3),Q$2:Q$250,0)),"")</f>
        <v/>
      </c>
      <c r="S3">
        <f>IF(Draft_Import!$D3=S$1,COUNTIF(Draft_Import!$D$2:'Draft_Import'!$D3,S$1),"")</f>
        <v/>
      </c>
      <c r="T3">
        <f>IFERROR(INDEX(Draft_Import!$E$2:$E$250,MATCH(ROWS(T$2:T3),S$2:S$250,0)),"")</f>
        <v/>
      </c>
    </row>
    <row r="4">
      <c r="A4">
        <f>IF(Draft_Import!$D4=A$1,COUNTIF(Draft_Import!$D$2:'Draft_Import'!$D4,A$1),"")</f>
        <v/>
      </c>
      <c r="B4">
        <f>IFERROR(INDEX(Draft_Import!$E$2:$E$250,MATCH(ROWS(B$2:B4),A$2:A$250,0)),"")</f>
        <v/>
      </c>
      <c r="C4">
        <f>IF(Draft_Import!$D4=C$1,COUNTIF(Draft_Import!$D$2:'Draft_Import'!$D4,C$1),"")</f>
        <v/>
      </c>
      <c r="D4">
        <f>IFERROR(INDEX(Draft_Import!$E$2:$E$250,MATCH(ROWS(D$2:D4),C$2:C$250,0)),"")</f>
        <v/>
      </c>
      <c r="E4">
        <f>IF(Draft_Import!$D4=E$1,COUNTIF(Draft_Import!$D$2:'Draft_Import'!$D4,E$1),"")</f>
        <v/>
      </c>
      <c r="F4">
        <f>IFERROR(INDEX(Draft_Import!$E$2:$E$250,MATCH(ROWS(F$2:F4),E$2:E$250,0)),"")</f>
        <v/>
      </c>
      <c r="G4">
        <f>IF(Draft_Import!$D4=G$1,COUNTIF(Draft_Import!$D$2:'Draft_Import'!$D4,G$1),"")</f>
        <v/>
      </c>
      <c r="H4">
        <f>IFERROR(INDEX(Draft_Import!$E$2:$E$250,MATCH(ROWS(H$2:H4),G$2:G$250,0)),"")</f>
        <v/>
      </c>
      <c r="I4">
        <f>IF(Draft_Import!$D4=I$1,COUNTIF(Draft_Import!$D$2:'Draft_Import'!$D4,I$1),"")</f>
        <v/>
      </c>
      <c r="J4">
        <f>IFERROR(INDEX(Draft_Import!$E$2:$E$250,MATCH(ROWS(J$2:J4),I$2:I$250,0)),"")</f>
        <v/>
      </c>
      <c r="K4">
        <f>IF(Draft_Import!$D4=K$1,COUNTIF(Draft_Import!$D$2:'Draft_Import'!$D4,K$1),"")</f>
        <v/>
      </c>
      <c r="L4">
        <f>IFERROR(INDEX(Draft_Import!$E$2:$E$250,MATCH(ROWS(L$2:L4),K$2:K$250,0)),"")</f>
        <v/>
      </c>
      <c r="M4">
        <f>IF(Draft_Import!$D4=M$1,COUNTIF(Draft_Import!$D$2:'Draft_Import'!$D4,M$1),"")</f>
        <v/>
      </c>
      <c r="N4">
        <f>IFERROR(INDEX(Draft_Import!$E$2:$E$250,MATCH(ROWS(N$2:N4),M$2:M$250,0)),"")</f>
        <v/>
      </c>
      <c r="O4">
        <f>IF(Draft_Import!$D4=O$1,COUNTIF(Draft_Import!$D$2:'Draft_Import'!$D4,O$1),"")</f>
        <v/>
      </c>
      <c r="P4">
        <f>IFERROR(INDEX(Draft_Import!$E$2:$E$250,MATCH(ROWS(P$2:P4),O$2:O$250,0)),"")</f>
        <v/>
      </c>
      <c r="Q4">
        <f>IF(Draft_Import!$D4=Q$1,COUNTIF(Draft_Import!$D$2:'Draft_Import'!$D4,Q$1),"")</f>
        <v/>
      </c>
      <c r="R4">
        <f>IFERROR(INDEX(Draft_Import!$E$2:$E$250,MATCH(ROWS(R$2:R4),Q$2:Q$250,0)),"")</f>
        <v/>
      </c>
      <c r="S4">
        <f>IF(Draft_Import!$D4=S$1,COUNTIF(Draft_Import!$D$2:'Draft_Import'!$D4,S$1),"")</f>
        <v/>
      </c>
      <c r="T4">
        <f>IFERROR(INDEX(Draft_Import!$E$2:$E$250,MATCH(ROWS(T$2:T4),S$2:S$250,0)),"")</f>
        <v/>
      </c>
    </row>
    <row r="5">
      <c r="A5">
        <f>IF(Draft_Import!$D5=A$1,COUNTIF(Draft_Import!$D$2:'Draft_Import'!$D5,A$1),"")</f>
        <v/>
      </c>
      <c r="B5">
        <f>IFERROR(INDEX(Draft_Import!$E$2:$E$250,MATCH(ROWS(B$2:B5),A$2:A$250,0)),"")</f>
        <v/>
      </c>
      <c r="C5">
        <f>IF(Draft_Import!$D5=C$1,COUNTIF(Draft_Import!$D$2:'Draft_Import'!$D5,C$1),"")</f>
        <v/>
      </c>
      <c r="D5">
        <f>IFERROR(INDEX(Draft_Import!$E$2:$E$250,MATCH(ROWS(D$2:D5),C$2:C$250,0)),"")</f>
        <v/>
      </c>
      <c r="E5">
        <f>IF(Draft_Import!$D5=E$1,COUNTIF(Draft_Import!$D$2:'Draft_Import'!$D5,E$1),"")</f>
        <v/>
      </c>
      <c r="F5">
        <f>IFERROR(INDEX(Draft_Import!$E$2:$E$250,MATCH(ROWS(F$2:F5),E$2:E$250,0)),"")</f>
        <v/>
      </c>
      <c r="G5">
        <f>IF(Draft_Import!$D5=G$1,COUNTIF(Draft_Import!$D$2:'Draft_Import'!$D5,G$1),"")</f>
        <v/>
      </c>
      <c r="H5">
        <f>IFERROR(INDEX(Draft_Import!$E$2:$E$250,MATCH(ROWS(H$2:H5),G$2:G$250,0)),"")</f>
        <v/>
      </c>
      <c r="I5">
        <f>IF(Draft_Import!$D5=I$1,COUNTIF(Draft_Import!$D$2:'Draft_Import'!$D5,I$1),"")</f>
        <v/>
      </c>
      <c r="J5">
        <f>IFERROR(INDEX(Draft_Import!$E$2:$E$250,MATCH(ROWS(J$2:J5),I$2:I$250,0)),"")</f>
        <v/>
      </c>
      <c r="K5">
        <f>IF(Draft_Import!$D5=K$1,COUNTIF(Draft_Import!$D$2:'Draft_Import'!$D5,K$1),"")</f>
        <v/>
      </c>
      <c r="L5">
        <f>IFERROR(INDEX(Draft_Import!$E$2:$E$250,MATCH(ROWS(L$2:L5),K$2:K$250,0)),"")</f>
        <v/>
      </c>
      <c r="M5">
        <f>IF(Draft_Import!$D5=M$1,COUNTIF(Draft_Import!$D$2:'Draft_Import'!$D5,M$1),"")</f>
        <v/>
      </c>
      <c r="N5">
        <f>IFERROR(INDEX(Draft_Import!$E$2:$E$250,MATCH(ROWS(N$2:N5),M$2:M$250,0)),"")</f>
        <v/>
      </c>
      <c r="O5">
        <f>IF(Draft_Import!$D5=O$1,COUNTIF(Draft_Import!$D$2:'Draft_Import'!$D5,O$1),"")</f>
        <v/>
      </c>
      <c r="P5">
        <f>IFERROR(INDEX(Draft_Import!$E$2:$E$250,MATCH(ROWS(P$2:P5),O$2:O$250,0)),"")</f>
        <v/>
      </c>
      <c r="Q5">
        <f>IF(Draft_Import!$D5=Q$1,COUNTIF(Draft_Import!$D$2:'Draft_Import'!$D5,Q$1),"")</f>
        <v/>
      </c>
      <c r="R5">
        <f>IFERROR(INDEX(Draft_Import!$E$2:$E$250,MATCH(ROWS(R$2:R5),Q$2:Q$250,0)),"")</f>
        <v/>
      </c>
      <c r="S5">
        <f>IF(Draft_Import!$D5=S$1,COUNTIF(Draft_Import!$D$2:'Draft_Import'!$D5,S$1),"")</f>
        <v/>
      </c>
      <c r="T5">
        <f>IFERROR(INDEX(Draft_Import!$E$2:$E$250,MATCH(ROWS(T$2:T5),S$2:S$250,0)),"")</f>
        <v/>
      </c>
    </row>
    <row r="6">
      <c r="A6">
        <f>IF(Draft_Import!$D6=A$1,COUNTIF(Draft_Import!$D$2:'Draft_Import'!$D6,A$1),"")</f>
        <v/>
      </c>
      <c r="B6">
        <f>IFERROR(INDEX(Draft_Import!$E$2:$E$250,MATCH(ROWS(B$2:B6),A$2:A$250,0)),"")</f>
        <v/>
      </c>
      <c r="C6">
        <f>IF(Draft_Import!$D6=C$1,COUNTIF(Draft_Import!$D$2:'Draft_Import'!$D6,C$1),"")</f>
        <v/>
      </c>
      <c r="D6">
        <f>IFERROR(INDEX(Draft_Import!$E$2:$E$250,MATCH(ROWS(D$2:D6),C$2:C$250,0)),"")</f>
        <v/>
      </c>
      <c r="E6">
        <f>IF(Draft_Import!$D6=E$1,COUNTIF(Draft_Import!$D$2:'Draft_Import'!$D6,E$1),"")</f>
        <v/>
      </c>
      <c r="F6">
        <f>IFERROR(INDEX(Draft_Import!$E$2:$E$250,MATCH(ROWS(F$2:F6),E$2:E$250,0)),"")</f>
        <v/>
      </c>
      <c r="G6">
        <f>IF(Draft_Import!$D6=G$1,COUNTIF(Draft_Import!$D$2:'Draft_Import'!$D6,G$1),"")</f>
        <v/>
      </c>
      <c r="H6">
        <f>IFERROR(INDEX(Draft_Import!$E$2:$E$250,MATCH(ROWS(H$2:H6),G$2:G$250,0)),"")</f>
        <v/>
      </c>
      <c r="I6">
        <f>IF(Draft_Import!$D6=I$1,COUNTIF(Draft_Import!$D$2:'Draft_Import'!$D6,I$1),"")</f>
        <v/>
      </c>
      <c r="J6">
        <f>IFERROR(INDEX(Draft_Import!$E$2:$E$250,MATCH(ROWS(J$2:J6),I$2:I$250,0)),"")</f>
        <v/>
      </c>
      <c r="K6">
        <f>IF(Draft_Import!$D6=K$1,COUNTIF(Draft_Import!$D$2:'Draft_Import'!$D6,K$1),"")</f>
        <v/>
      </c>
      <c r="L6">
        <f>IFERROR(INDEX(Draft_Import!$E$2:$E$250,MATCH(ROWS(L$2:L6),K$2:K$250,0)),"")</f>
        <v/>
      </c>
      <c r="M6">
        <f>IF(Draft_Import!$D6=M$1,COUNTIF(Draft_Import!$D$2:'Draft_Import'!$D6,M$1),"")</f>
        <v/>
      </c>
      <c r="N6">
        <f>IFERROR(INDEX(Draft_Import!$E$2:$E$250,MATCH(ROWS(N$2:N6),M$2:M$250,0)),"")</f>
        <v/>
      </c>
      <c r="O6">
        <f>IF(Draft_Import!$D6=O$1,COUNTIF(Draft_Import!$D$2:'Draft_Import'!$D6,O$1),"")</f>
        <v/>
      </c>
      <c r="P6">
        <f>IFERROR(INDEX(Draft_Import!$E$2:$E$250,MATCH(ROWS(P$2:P6),O$2:O$250,0)),"")</f>
        <v/>
      </c>
      <c r="Q6">
        <f>IF(Draft_Import!$D6=Q$1,COUNTIF(Draft_Import!$D$2:'Draft_Import'!$D6,Q$1),"")</f>
        <v/>
      </c>
      <c r="R6">
        <f>IFERROR(INDEX(Draft_Import!$E$2:$E$250,MATCH(ROWS(R$2:R6),Q$2:Q$250,0)),"")</f>
        <v/>
      </c>
      <c r="S6">
        <f>IF(Draft_Import!$D6=S$1,COUNTIF(Draft_Import!$D$2:'Draft_Import'!$D6,S$1),"")</f>
        <v/>
      </c>
      <c r="T6">
        <f>IFERROR(INDEX(Draft_Import!$E$2:$E$250,MATCH(ROWS(T$2:T6),S$2:S$250,0)),"")</f>
        <v/>
      </c>
    </row>
    <row r="7">
      <c r="A7">
        <f>IF(Draft_Import!$D7=A$1,COUNTIF(Draft_Import!$D$2:'Draft_Import'!$D7,A$1),"")</f>
        <v/>
      </c>
      <c r="B7">
        <f>IFERROR(INDEX(Draft_Import!$E$2:$E$250,MATCH(ROWS(B$2:B7),A$2:A$250,0)),"")</f>
        <v/>
      </c>
      <c r="C7">
        <f>IF(Draft_Import!$D7=C$1,COUNTIF(Draft_Import!$D$2:'Draft_Import'!$D7,C$1),"")</f>
        <v/>
      </c>
      <c r="D7">
        <f>IFERROR(INDEX(Draft_Import!$E$2:$E$250,MATCH(ROWS(D$2:D7),C$2:C$250,0)),"")</f>
        <v/>
      </c>
      <c r="E7">
        <f>IF(Draft_Import!$D7=E$1,COUNTIF(Draft_Import!$D$2:'Draft_Import'!$D7,E$1),"")</f>
        <v/>
      </c>
      <c r="F7">
        <f>IFERROR(INDEX(Draft_Import!$E$2:$E$250,MATCH(ROWS(F$2:F7),E$2:E$250,0)),"")</f>
        <v/>
      </c>
      <c r="G7">
        <f>IF(Draft_Import!$D7=G$1,COUNTIF(Draft_Import!$D$2:'Draft_Import'!$D7,G$1),"")</f>
        <v/>
      </c>
      <c r="H7">
        <f>IFERROR(INDEX(Draft_Import!$E$2:$E$250,MATCH(ROWS(H$2:H7),G$2:G$250,0)),"")</f>
        <v/>
      </c>
      <c r="I7">
        <f>IF(Draft_Import!$D7=I$1,COUNTIF(Draft_Import!$D$2:'Draft_Import'!$D7,I$1),"")</f>
        <v/>
      </c>
      <c r="J7">
        <f>IFERROR(INDEX(Draft_Import!$E$2:$E$250,MATCH(ROWS(J$2:J7),I$2:I$250,0)),"")</f>
        <v/>
      </c>
      <c r="K7">
        <f>IF(Draft_Import!$D7=K$1,COUNTIF(Draft_Import!$D$2:'Draft_Import'!$D7,K$1),"")</f>
        <v/>
      </c>
      <c r="L7">
        <f>IFERROR(INDEX(Draft_Import!$E$2:$E$250,MATCH(ROWS(L$2:L7),K$2:K$250,0)),"")</f>
        <v/>
      </c>
      <c r="M7">
        <f>IF(Draft_Import!$D7=M$1,COUNTIF(Draft_Import!$D$2:'Draft_Import'!$D7,M$1),"")</f>
        <v/>
      </c>
      <c r="N7">
        <f>IFERROR(INDEX(Draft_Import!$E$2:$E$250,MATCH(ROWS(N$2:N7),M$2:M$250,0)),"")</f>
        <v/>
      </c>
      <c r="O7">
        <f>IF(Draft_Import!$D7=O$1,COUNTIF(Draft_Import!$D$2:'Draft_Import'!$D7,O$1),"")</f>
        <v/>
      </c>
      <c r="P7">
        <f>IFERROR(INDEX(Draft_Import!$E$2:$E$250,MATCH(ROWS(P$2:P7),O$2:O$250,0)),"")</f>
        <v/>
      </c>
      <c r="Q7">
        <f>IF(Draft_Import!$D7=Q$1,COUNTIF(Draft_Import!$D$2:'Draft_Import'!$D7,Q$1),"")</f>
        <v/>
      </c>
      <c r="R7">
        <f>IFERROR(INDEX(Draft_Import!$E$2:$E$250,MATCH(ROWS(R$2:R7),Q$2:Q$250,0)),"")</f>
        <v/>
      </c>
      <c r="S7">
        <f>IF(Draft_Import!$D7=S$1,COUNTIF(Draft_Import!$D$2:'Draft_Import'!$D7,S$1),"")</f>
        <v/>
      </c>
      <c r="T7">
        <f>IFERROR(INDEX(Draft_Import!$E$2:$E$250,MATCH(ROWS(T$2:T7),S$2:S$250,0)),"")</f>
        <v/>
      </c>
    </row>
    <row r="8">
      <c r="A8">
        <f>IF(Draft_Import!$D8=A$1,COUNTIF(Draft_Import!$D$2:'Draft_Import'!$D8,A$1),"")</f>
        <v/>
      </c>
      <c r="B8">
        <f>IFERROR(INDEX(Draft_Import!$E$2:$E$250,MATCH(ROWS(B$2:B8),A$2:A$250,0)),"")</f>
        <v/>
      </c>
      <c r="C8">
        <f>IF(Draft_Import!$D8=C$1,COUNTIF(Draft_Import!$D$2:'Draft_Import'!$D8,C$1),"")</f>
        <v/>
      </c>
      <c r="D8">
        <f>IFERROR(INDEX(Draft_Import!$E$2:$E$250,MATCH(ROWS(D$2:D8),C$2:C$250,0)),"")</f>
        <v/>
      </c>
      <c r="E8">
        <f>IF(Draft_Import!$D8=E$1,COUNTIF(Draft_Import!$D$2:'Draft_Import'!$D8,E$1),"")</f>
        <v/>
      </c>
      <c r="F8">
        <f>IFERROR(INDEX(Draft_Import!$E$2:$E$250,MATCH(ROWS(F$2:F8),E$2:E$250,0)),"")</f>
        <v/>
      </c>
      <c r="G8">
        <f>IF(Draft_Import!$D8=G$1,COUNTIF(Draft_Import!$D$2:'Draft_Import'!$D8,G$1),"")</f>
        <v/>
      </c>
      <c r="H8">
        <f>IFERROR(INDEX(Draft_Import!$E$2:$E$250,MATCH(ROWS(H$2:H8),G$2:G$250,0)),"")</f>
        <v/>
      </c>
      <c r="I8">
        <f>IF(Draft_Import!$D8=I$1,COUNTIF(Draft_Import!$D$2:'Draft_Import'!$D8,I$1),"")</f>
        <v/>
      </c>
      <c r="J8">
        <f>IFERROR(INDEX(Draft_Import!$E$2:$E$250,MATCH(ROWS(J$2:J8),I$2:I$250,0)),"")</f>
        <v/>
      </c>
      <c r="K8">
        <f>IF(Draft_Import!$D8=K$1,COUNTIF(Draft_Import!$D$2:'Draft_Import'!$D8,K$1),"")</f>
        <v/>
      </c>
      <c r="L8">
        <f>IFERROR(INDEX(Draft_Import!$E$2:$E$250,MATCH(ROWS(L$2:L8),K$2:K$250,0)),"")</f>
        <v/>
      </c>
      <c r="M8">
        <f>IF(Draft_Import!$D8=M$1,COUNTIF(Draft_Import!$D$2:'Draft_Import'!$D8,M$1),"")</f>
        <v/>
      </c>
      <c r="N8">
        <f>IFERROR(INDEX(Draft_Import!$E$2:$E$250,MATCH(ROWS(N$2:N8),M$2:M$250,0)),"")</f>
        <v/>
      </c>
      <c r="O8">
        <f>IF(Draft_Import!$D8=O$1,COUNTIF(Draft_Import!$D$2:'Draft_Import'!$D8,O$1),"")</f>
        <v/>
      </c>
      <c r="P8">
        <f>IFERROR(INDEX(Draft_Import!$E$2:$E$250,MATCH(ROWS(P$2:P8),O$2:O$250,0)),"")</f>
        <v/>
      </c>
      <c r="Q8">
        <f>IF(Draft_Import!$D8=Q$1,COUNTIF(Draft_Import!$D$2:'Draft_Import'!$D8,Q$1),"")</f>
        <v/>
      </c>
      <c r="R8">
        <f>IFERROR(INDEX(Draft_Import!$E$2:$E$250,MATCH(ROWS(R$2:R8),Q$2:Q$250,0)),"")</f>
        <v/>
      </c>
      <c r="S8">
        <f>IF(Draft_Import!$D8=S$1,COUNTIF(Draft_Import!$D$2:'Draft_Import'!$D8,S$1),"")</f>
        <v/>
      </c>
      <c r="T8">
        <f>IFERROR(INDEX(Draft_Import!$E$2:$E$250,MATCH(ROWS(T$2:T8),S$2:S$250,0)),"")</f>
        <v/>
      </c>
    </row>
    <row r="9">
      <c r="A9">
        <f>IF(Draft_Import!$D9=A$1,COUNTIF(Draft_Import!$D$2:'Draft_Import'!$D9,A$1),"")</f>
        <v/>
      </c>
      <c r="B9">
        <f>IFERROR(INDEX(Draft_Import!$E$2:$E$250,MATCH(ROWS(B$2:B9),A$2:A$250,0)),"")</f>
        <v/>
      </c>
      <c r="C9">
        <f>IF(Draft_Import!$D9=C$1,COUNTIF(Draft_Import!$D$2:'Draft_Import'!$D9,C$1),"")</f>
        <v/>
      </c>
      <c r="D9">
        <f>IFERROR(INDEX(Draft_Import!$E$2:$E$250,MATCH(ROWS(D$2:D9),C$2:C$250,0)),"")</f>
        <v/>
      </c>
      <c r="E9">
        <f>IF(Draft_Import!$D9=E$1,COUNTIF(Draft_Import!$D$2:'Draft_Import'!$D9,E$1),"")</f>
        <v/>
      </c>
      <c r="F9">
        <f>IFERROR(INDEX(Draft_Import!$E$2:$E$250,MATCH(ROWS(F$2:F9),E$2:E$250,0)),"")</f>
        <v/>
      </c>
      <c r="G9">
        <f>IF(Draft_Import!$D9=G$1,COUNTIF(Draft_Import!$D$2:'Draft_Import'!$D9,G$1),"")</f>
        <v/>
      </c>
      <c r="H9">
        <f>IFERROR(INDEX(Draft_Import!$E$2:$E$250,MATCH(ROWS(H$2:H9),G$2:G$250,0)),"")</f>
        <v/>
      </c>
      <c r="I9">
        <f>IF(Draft_Import!$D9=I$1,COUNTIF(Draft_Import!$D$2:'Draft_Import'!$D9,I$1),"")</f>
        <v/>
      </c>
      <c r="J9">
        <f>IFERROR(INDEX(Draft_Import!$E$2:$E$250,MATCH(ROWS(J$2:J9),I$2:I$250,0)),"")</f>
        <v/>
      </c>
      <c r="K9">
        <f>IF(Draft_Import!$D9=K$1,COUNTIF(Draft_Import!$D$2:'Draft_Import'!$D9,K$1),"")</f>
        <v/>
      </c>
      <c r="L9">
        <f>IFERROR(INDEX(Draft_Import!$E$2:$E$250,MATCH(ROWS(L$2:L9),K$2:K$250,0)),"")</f>
        <v/>
      </c>
      <c r="M9">
        <f>IF(Draft_Import!$D9=M$1,COUNTIF(Draft_Import!$D$2:'Draft_Import'!$D9,M$1),"")</f>
        <v/>
      </c>
      <c r="N9">
        <f>IFERROR(INDEX(Draft_Import!$E$2:$E$250,MATCH(ROWS(N$2:N9),M$2:M$250,0)),"")</f>
        <v/>
      </c>
      <c r="O9">
        <f>IF(Draft_Import!$D9=O$1,COUNTIF(Draft_Import!$D$2:'Draft_Import'!$D9,O$1),"")</f>
        <v/>
      </c>
      <c r="P9">
        <f>IFERROR(INDEX(Draft_Import!$E$2:$E$250,MATCH(ROWS(P$2:P9),O$2:O$250,0)),"")</f>
        <v/>
      </c>
      <c r="Q9">
        <f>IF(Draft_Import!$D9=Q$1,COUNTIF(Draft_Import!$D$2:'Draft_Import'!$D9,Q$1),"")</f>
        <v/>
      </c>
      <c r="R9">
        <f>IFERROR(INDEX(Draft_Import!$E$2:$E$250,MATCH(ROWS(R$2:R9),Q$2:Q$250,0)),"")</f>
        <v/>
      </c>
      <c r="S9">
        <f>IF(Draft_Import!$D9=S$1,COUNTIF(Draft_Import!$D$2:'Draft_Import'!$D9,S$1),"")</f>
        <v/>
      </c>
      <c r="T9">
        <f>IFERROR(INDEX(Draft_Import!$E$2:$E$250,MATCH(ROWS(T$2:T9),S$2:S$250,0)),"")</f>
        <v/>
      </c>
    </row>
    <row r="10">
      <c r="A10">
        <f>IF(Draft_Import!$D10=A$1,COUNTIF(Draft_Import!$D$2:'Draft_Import'!$D10,A$1),"")</f>
        <v/>
      </c>
      <c r="B10">
        <f>IFERROR(INDEX(Draft_Import!$E$2:$E$250,MATCH(ROWS(B$2:B10),A$2:A$250,0)),"")</f>
        <v/>
      </c>
      <c r="C10">
        <f>IF(Draft_Import!$D10=C$1,COUNTIF(Draft_Import!$D$2:'Draft_Import'!$D10,C$1),"")</f>
        <v/>
      </c>
      <c r="D10">
        <f>IFERROR(INDEX(Draft_Import!$E$2:$E$250,MATCH(ROWS(D$2:D10),C$2:C$250,0)),"")</f>
        <v/>
      </c>
      <c r="E10">
        <f>IF(Draft_Import!$D10=E$1,COUNTIF(Draft_Import!$D$2:'Draft_Import'!$D10,E$1),"")</f>
        <v/>
      </c>
      <c r="F10">
        <f>IFERROR(INDEX(Draft_Import!$E$2:$E$250,MATCH(ROWS(F$2:F10),E$2:E$250,0)),"")</f>
        <v/>
      </c>
      <c r="G10">
        <f>IF(Draft_Import!$D10=G$1,COUNTIF(Draft_Import!$D$2:'Draft_Import'!$D10,G$1),"")</f>
        <v/>
      </c>
      <c r="H10">
        <f>IFERROR(INDEX(Draft_Import!$E$2:$E$250,MATCH(ROWS(H$2:H10),G$2:G$250,0)),"")</f>
        <v/>
      </c>
      <c r="I10">
        <f>IF(Draft_Import!$D10=I$1,COUNTIF(Draft_Import!$D$2:'Draft_Import'!$D10,I$1),"")</f>
        <v/>
      </c>
      <c r="J10">
        <f>IFERROR(INDEX(Draft_Import!$E$2:$E$250,MATCH(ROWS(J$2:J10),I$2:I$250,0)),"")</f>
        <v/>
      </c>
      <c r="K10">
        <f>IF(Draft_Import!$D10=K$1,COUNTIF(Draft_Import!$D$2:'Draft_Import'!$D10,K$1),"")</f>
        <v/>
      </c>
      <c r="L10">
        <f>IFERROR(INDEX(Draft_Import!$E$2:$E$250,MATCH(ROWS(L$2:L10),K$2:K$250,0)),"")</f>
        <v/>
      </c>
      <c r="M10">
        <f>IF(Draft_Import!$D10=M$1,COUNTIF(Draft_Import!$D$2:'Draft_Import'!$D10,M$1),"")</f>
        <v/>
      </c>
      <c r="N10">
        <f>IFERROR(INDEX(Draft_Import!$E$2:$E$250,MATCH(ROWS(N$2:N10),M$2:M$250,0)),"")</f>
        <v/>
      </c>
      <c r="O10">
        <f>IF(Draft_Import!$D10=O$1,COUNTIF(Draft_Import!$D$2:'Draft_Import'!$D10,O$1),"")</f>
        <v/>
      </c>
      <c r="P10">
        <f>IFERROR(INDEX(Draft_Import!$E$2:$E$250,MATCH(ROWS(P$2:P10),O$2:O$250,0)),"")</f>
        <v/>
      </c>
      <c r="Q10">
        <f>IF(Draft_Import!$D10=Q$1,COUNTIF(Draft_Import!$D$2:'Draft_Import'!$D10,Q$1),"")</f>
        <v/>
      </c>
      <c r="R10">
        <f>IFERROR(INDEX(Draft_Import!$E$2:$E$250,MATCH(ROWS(R$2:R10),Q$2:Q$250,0)),"")</f>
        <v/>
      </c>
      <c r="S10">
        <f>IF(Draft_Import!$D10=S$1,COUNTIF(Draft_Import!$D$2:'Draft_Import'!$D10,S$1),"")</f>
        <v/>
      </c>
      <c r="T10">
        <f>IFERROR(INDEX(Draft_Import!$E$2:$E$250,MATCH(ROWS(T$2:T10),S$2:S$250,0)),"")</f>
        <v/>
      </c>
    </row>
    <row r="11">
      <c r="A11">
        <f>IF(Draft_Import!$D11=A$1,COUNTIF(Draft_Import!$D$2:'Draft_Import'!$D11,A$1),"")</f>
        <v/>
      </c>
      <c r="B11">
        <f>IFERROR(INDEX(Draft_Import!$E$2:$E$250,MATCH(ROWS(B$2:B11),A$2:A$250,0)),"")</f>
        <v/>
      </c>
      <c r="C11">
        <f>IF(Draft_Import!$D11=C$1,COUNTIF(Draft_Import!$D$2:'Draft_Import'!$D11,C$1),"")</f>
        <v/>
      </c>
      <c r="D11">
        <f>IFERROR(INDEX(Draft_Import!$E$2:$E$250,MATCH(ROWS(D$2:D11),C$2:C$250,0)),"")</f>
        <v/>
      </c>
      <c r="E11">
        <f>IF(Draft_Import!$D11=E$1,COUNTIF(Draft_Import!$D$2:'Draft_Import'!$D11,E$1),"")</f>
        <v/>
      </c>
      <c r="F11">
        <f>IFERROR(INDEX(Draft_Import!$E$2:$E$250,MATCH(ROWS(F$2:F11),E$2:E$250,0)),"")</f>
        <v/>
      </c>
      <c r="G11">
        <f>IF(Draft_Import!$D11=G$1,COUNTIF(Draft_Import!$D$2:'Draft_Import'!$D11,G$1),"")</f>
        <v/>
      </c>
      <c r="H11">
        <f>IFERROR(INDEX(Draft_Import!$E$2:$E$250,MATCH(ROWS(H$2:H11),G$2:G$250,0)),"")</f>
        <v/>
      </c>
      <c r="I11">
        <f>IF(Draft_Import!$D11=I$1,COUNTIF(Draft_Import!$D$2:'Draft_Import'!$D11,I$1),"")</f>
        <v/>
      </c>
      <c r="J11">
        <f>IFERROR(INDEX(Draft_Import!$E$2:$E$250,MATCH(ROWS(J$2:J11),I$2:I$250,0)),"")</f>
        <v/>
      </c>
      <c r="K11">
        <f>IF(Draft_Import!$D11=K$1,COUNTIF(Draft_Import!$D$2:'Draft_Import'!$D11,K$1),"")</f>
        <v/>
      </c>
      <c r="L11">
        <f>IFERROR(INDEX(Draft_Import!$E$2:$E$250,MATCH(ROWS(L$2:L11),K$2:K$250,0)),"")</f>
        <v/>
      </c>
      <c r="M11">
        <f>IF(Draft_Import!$D11=M$1,COUNTIF(Draft_Import!$D$2:'Draft_Import'!$D11,M$1),"")</f>
        <v/>
      </c>
      <c r="N11">
        <f>IFERROR(INDEX(Draft_Import!$E$2:$E$250,MATCH(ROWS(N$2:N11),M$2:M$250,0)),"")</f>
        <v/>
      </c>
      <c r="O11">
        <f>IF(Draft_Import!$D11=O$1,COUNTIF(Draft_Import!$D$2:'Draft_Import'!$D11,O$1),"")</f>
        <v/>
      </c>
      <c r="P11">
        <f>IFERROR(INDEX(Draft_Import!$E$2:$E$250,MATCH(ROWS(P$2:P11),O$2:O$250,0)),"")</f>
        <v/>
      </c>
      <c r="Q11">
        <f>IF(Draft_Import!$D11=Q$1,COUNTIF(Draft_Import!$D$2:'Draft_Import'!$D11,Q$1),"")</f>
        <v/>
      </c>
      <c r="R11">
        <f>IFERROR(INDEX(Draft_Import!$E$2:$E$250,MATCH(ROWS(R$2:R11),Q$2:Q$250,0)),"")</f>
        <v/>
      </c>
      <c r="S11">
        <f>IF(Draft_Import!$D11=S$1,COUNTIF(Draft_Import!$D$2:'Draft_Import'!$D11,S$1),"")</f>
        <v/>
      </c>
      <c r="T11">
        <f>IFERROR(INDEX(Draft_Import!$E$2:$E$250,MATCH(ROWS(T$2:T11),S$2:S$250,0)),"")</f>
        <v/>
      </c>
    </row>
    <row r="12">
      <c r="A12">
        <f>IF(Draft_Import!$D12=A$1,COUNTIF(Draft_Import!$D$2:'Draft_Import'!$D12,A$1),"")</f>
        <v/>
      </c>
      <c r="B12">
        <f>IFERROR(INDEX(Draft_Import!$E$2:$E$250,MATCH(ROWS(B$2:B12),A$2:A$250,0)),"")</f>
        <v/>
      </c>
      <c r="C12">
        <f>IF(Draft_Import!$D12=C$1,COUNTIF(Draft_Import!$D$2:'Draft_Import'!$D12,C$1),"")</f>
        <v/>
      </c>
      <c r="D12">
        <f>IFERROR(INDEX(Draft_Import!$E$2:$E$250,MATCH(ROWS(D$2:D12),C$2:C$250,0)),"")</f>
        <v/>
      </c>
      <c r="E12">
        <f>IF(Draft_Import!$D12=E$1,COUNTIF(Draft_Import!$D$2:'Draft_Import'!$D12,E$1),"")</f>
        <v/>
      </c>
      <c r="F12">
        <f>IFERROR(INDEX(Draft_Import!$E$2:$E$250,MATCH(ROWS(F$2:F12),E$2:E$250,0)),"")</f>
        <v/>
      </c>
      <c r="G12">
        <f>IF(Draft_Import!$D12=G$1,COUNTIF(Draft_Import!$D$2:'Draft_Import'!$D12,G$1),"")</f>
        <v/>
      </c>
      <c r="H12">
        <f>IFERROR(INDEX(Draft_Import!$E$2:$E$250,MATCH(ROWS(H$2:H12),G$2:G$250,0)),"")</f>
        <v/>
      </c>
      <c r="I12">
        <f>IF(Draft_Import!$D12=I$1,COUNTIF(Draft_Import!$D$2:'Draft_Import'!$D12,I$1),"")</f>
        <v/>
      </c>
      <c r="J12">
        <f>IFERROR(INDEX(Draft_Import!$E$2:$E$250,MATCH(ROWS(J$2:J12),I$2:I$250,0)),"")</f>
        <v/>
      </c>
      <c r="K12">
        <f>IF(Draft_Import!$D12=K$1,COUNTIF(Draft_Import!$D$2:'Draft_Import'!$D12,K$1),"")</f>
        <v/>
      </c>
      <c r="L12">
        <f>IFERROR(INDEX(Draft_Import!$E$2:$E$250,MATCH(ROWS(L$2:L12),K$2:K$250,0)),"")</f>
        <v/>
      </c>
      <c r="M12">
        <f>IF(Draft_Import!$D12=M$1,COUNTIF(Draft_Import!$D$2:'Draft_Import'!$D12,M$1),"")</f>
        <v/>
      </c>
      <c r="N12">
        <f>IFERROR(INDEX(Draft_Import!$E$2:$E$250,MATCH(ROWS(N$2:N12),M$2:M$250,0)),"")</f>
        <v/>
      </c>
      <c r="O12">
        <f>IF(Draft_Import!$D12=O$1,COUNTIF(Draft_Import!$D$2:'Draft_Import'!$D12,O$1),"")</f>
        <v/>
      </c>
      <c r="P12">
        <f>IFERROR(INDEX(Draft_Import!$E$2:$E$250,MATCH(ROWS(P$2:P12),O$2:O$250,0)),"")</f>
        <v/>
      </c>
      <c r="Q12">
        <f>IF(Draft_Import!$D12=Q$1,COUNTIF(Draft_Import!$D$2:'Draft_Import'!$D12,Q$1),"")</f>
        <v/>
      </c>
      <c r="R12">
        <f>IFERROR(INDEX(Draft_Import!$E$2:$E$250,MATCH(ROWS(R$2:R12),Q$2:Q$250,0)),"")</f>
        <v/>
      </c>
      <c r="S12">
        <f>IF(Draft_Import!$D12=S$1,COUNTIF(Draft_Import!$D$2:'Draft_Import'!$D12,S$1),"")</f>
        <v/>
      </c>
      <c r="T12">
        <f>IFERROR(INDEX(Draft_Import!$E$2:$E$250,MATCH(ROWS(T$2:T12),S$2:S$250,0)),"")</f>
        <v/>
      </c>
    </row>
    <row r="13">
      <c r="A13">
        <f>IF(Draft_Import!$D13=A$1,COUNTIF(Draft_Import!$D$2:'Draft_Import'!$D13,A$1),"")</f>
        <v/>
      </c>
      <c r="B13">
        <f>IFERROR(INDEX(Draft_Import!$E$2:$E$250,MATCH(ROWS(B$2:B13),A$2:A$250,0)),"")</f>
        <v/>
      </c>
      <c r="C13">
        <f>IF(Draft_Import!$D13=C$1,COUNTIF(Draft_Import!$D$2:'Draft_Import'!$D13,C$1),"")</f>
        <v/>
      </c>
      <c r="D13">
        <f>IFERROR(INDEX(Draft_Import!$E$2:$E$250,MATCH(ROWS(D$2:D13),C$2:C$250,0)),"")</f>
        <v/>
      </c>
      <c r="E13">
        <f>IF(Draft_Import!$D13=E$1,COUNTIF(Draft_Import!$D$2:'Draft_Import'!$D13,E$1),"")</f>
        <v/>
      </c>
      <c r="F13">
        <f>IFERROR(INDEX(Draft_Import!$E$2:$E$250,MATCH(ROWS(F$2:F13),E$2:E$250,0)),"")</f>
        <v/>
      </c>
      <c r="G13">
        <f>IF(Draft_Import!$D13=G$1,COUNTIF(Draft_Import!$D$2:'Draft_Import'!$D13,G$1),"")</f>
        <v/>
      </c>
      <c r="H13">
        <f>IFERROR(INDEX(Draft_Import!$E$2:$E$250,MATCH(ROWS(H$2:H13),G$2:G$250,0)),"")</f>
        <v/>
      </c>
      <c r="I13">
        <f>IF(Draft_Import!$D13=I$1,COUNTIF(Draft_Import!$D$2:'Draft_Import'!$D13,I$1),"")</f>
        <v/>
      </c>
      <c r="J13">
        <f>IFERROR(INDEX(Draft_Import!$E$2:$E$250,MATCH(ROWS(J$2:J13),I$2:I$250,0)),"")</f>
        <v/>
      </c>
      <c r="K13">
        <f>IF(Draft_Import!$D13=K$1,COUNTIF(Draft_Import!$D$2:'Draft_Import'!$D13,K$1),"")</f>
        <v/>
      </c>
      <c r="L13">
        <f>IFERROR(INDEX(Draft_Import!$E$2:$E$250,MATCH(ROWS(L$2:L13),K$2:K$250,0)),"")</f>
        <v/>
      </c>
      <c r="M13">
        <f>IF(Draft_Import!$D13=M$1,COUNTIF(Draft_Import!$D$2:'Draft_Import'!$D13,M$1),"")</f>
        <v/>
      </c>
      <c r="N13">
        <f>IFERROR(INDEX(Draft_Import!$E$2:$E$250,MATCH(ROWS(N$2:N13),M$2:M$250,0)),"")</f>
        <v/>
      </c>
      <c r="O13">
        <f>IF(Draft_Import!$D13=O$1,COUNTIF(Draft_Import!$D$2:'Draft_Import'!$D13,O$1),"")</f>
        <v/>
      </c>
      <c r="P13">
        <f>IFERROR(INDEX(Draft_Import!$E$2:$E$250,MATCH(ROWS(P$2:P13),O$2:O$250,0)),"")</f>
        <v/>
      </c>
      <c r="Q13">
        <f>IF(Draft_Import!$D13=Q$1,COUNTIF(Draft_Import!$D$2:'Draft_Import'!$D13,Q$1),"")</f>
        <v/>
      </c>
      <c r="R13">
        <f>IFERROR(INDEX(Draft_Import!$E$2:$E$250,MATCH(ROWS(R$2:R13),Q$2:Q$250,0)),"")</f>
        <v/>
      </c>
      <c r="S13">
        <f>IF(Draft_Import!$D13=S$1,COUNTIF(Draft_Import!$D$2:'Draft_Import'!$D13,S$1),"")</f>
        <v/>
      </c>
      <c r="T13">
        <f>IFERROR(INDEX(Draft_Import!$E$2:$E$250,MATCH(ROWS(T$2:T13),S$2:S$250,0)),"")</f>
        <v/>
      </c>
    </row>
    <row r="14">
      <c r="A14">
        <f>IF(Draft_Import!$D14=A$1,COUNTIF(Draft_Import!$D$2:'Draft_Import'!$D14,A$1),"")</f>
        <v/>
      </c>
      <c r="B14">
        <f>IFERROR(INDEX(Draft_Import!$E$2:$E$250,MATCH(ROWS(B$2:B14),A$2:A$250,0)),"")</f>
        <v/>
      </c>
      <c r="C14">
        <f>IF(Draft_Import!$D14=C$1,COUNTIF(Draft_Import!$D$2:'Draft_Import'!$D14,C$1),"")</f>
        <v/>
      </c>
      <c r="D14">
        <f>IFERROR(INDEX(Draft_Import!$E$2:$E$250,MATCH(ROWS(D$2:D14),C$2:C$250,0)),"")</f>
        <v/>
      </c>
      <c r="E14">
        <f>IF(Draft_Import!$D14=E$1,COUNTIF(Draft_Import!$D$2:'Draft_Import'!$D14,E$1),"")</f>
        <v/>
      </c>
      <c r="F14">
        <f>IFERROR(INDEX(Draft_Import!$E$2:$E$250,MATCH(ROWS(F$2:F14),E$2:E$250,0)),"")</f>
        <v/>
      </c>
      <c r="G14">
        <f>IF(Draft_Import!$D14=G$1,COUNTIF(Draft_Import!$D$2:'Draft_Import'!$D14,G$1),"")</f>
        <v/>
      </c>
      <c r="H14">
        <f>IFERROR(INDEX(Draft_Import!$E$2:$E$250,MATCH(ROWS(H$2:H14),G$2:G$250,0)),"")</f>
        <v/>
      </c>
      <c r="I14">
        <f>IF(Draft_Import!$D14=I$1,COUNTIF(Draft_Import!$D$2:'Draft_Import'!$D14,I$1),"")</f>
        <v/>
      </c>
      <c r="J14">
        <f>IFERROR(INDEX(Draft_Import!$E$2:$E$250,MATCH(ROWS(J$2:J14),I$2:I$250,0)),"")</f>
        <v/>
      </c>
      <c r="K14">
        <f>IF(Draft_Import!$D14=K$1,COUNTIF(Draft_Import!$D$2:'Draft_Import'!$D14,K$1),"")</f>
        <v/>
      </c>
      <c r="L14">
        <f>IFERROR(INDEX(Draft_Import!$E$2:$E$250,MATCH(ROWS(L$2:L14),K$2:K$250,0)),"")</f>
        <v/>
      </c>
      <c r="M14">
        <f>IF(Draft_Import!$D14=M$1,COUNTIF(Draft_Import!$D$2:'Draft_Import'!$D14,M$1),"")</f>
        <v/>
      </c>
      <c r="N14">
        <f>IFERROR(INDEX(Draft_Import!$E$2:$E$250,MATCH(ROWS(N$2:N14),M$2:M$250,0)),"")</f>
        <v/>
      </c>
      <c r="O14">
        <f>IF(Draft_Import!$D14=O$1,COUNTIF(Draft_Import!$D$2:'Draft_Import'!$D14,O$1),"")</f>
        <v/>
      </c>
      <c r="P14">
        <f>IFERROR(INDEX(Draft_Import!$E$2:$E$250,MATCH(ROWS(P$2:P14),O$2:O$250,0)),"")</f>
        <v/>
      </c>
      <c r="Q14">
        <f>IF(Draft_Import!$D14=Q$1,COUNTIF(Draft_Import!$D$2:'Draft_Import'!$D14,Q$1),"")</f>
        <v/>
      </c>
      <c r="R14">
        <f>IFERROR(INDEX(Draft_Import!$E$2:$E$250,MATCH(ROWS(R$2:R14),Q$2:Q$250,0)),"")</f>
        <v/>
      </c>
      <c r="S14">
        <f>IF(Draft_Import!$D14=S$1,COUNTIF(Draft_Import!$D$2:'Draft_Import'!$D14,S$1),"")</f>
        <v/>
      </c>
      <c r="T14">
        <f>IFERROR(INDEX(Draft_Import!$E$2:$E$250,MATCH(ROWS(T$2:T14),S$2:S$250,0)),"")</f>
        <v/>
      </c>
    </row>
    <row r="15">
      <c r="A15">
        <f>IF(Draft_Import!$D15=A$1,COUNTIF(Draft_Import!$D$2:'Draft_Import'!$D15,A$1),"")</f>
        <v/>
      </c>
      <c r="B15">
        <f>IFERROR(INDEX(Draft_Import!$E$2:$E$250,MATCH(ROWS(B$2:B15),A$2:A$250,0)),"")</f>
        <v/>
      </c>
      <c r="C15">
        <f>IF(Draft_Import!$D15=C$1,COUNTIF(Draft_Import!$D$2:'Draft_Import'!$D15,C$1),"")</f>
        <v/>
      </c>
      <c r="D15">
        <f>IFERROR(INDEX(Draft_Import!$E$2:$E$250,MATCH(ROWS(D$2:D15),C$2:C$250,0)),"")</f>
        <v/>
      </c>
      <c r="E15">
        <f>IF(Draft_Import!$D15=E$1,COUNTIF(Draft_Import!$D$2:'Draft_Import'!$D15,E$1),"")</f>
        <v/>
      </c>
      <c r="F15">
        <f>IFERROR(INDEX(Draft_Import!$E$2:$E$250,MATCH(ROWS(F$2:F15),E$2:E$250,0)),"")</f>
        <v/>
      </c>
      <c r="G15">
        <f>IF(Draft_Import!$D15=G$1,COUNTIF(Draft_Import!$D$2:'Draft_Import'!$D15,G$1),"")</f>
        <v/>
      </c>
      <c r="H15">
        <f>IFERROR(INDEX(Draft_Import!$E$2:$E$250,MATCH(ROWS(H$2:H15),G$2:G$250,0)),"")</f>
        <v/>
      </c>
      <c r="I15">
        <f>IF(Draft_Import!$D15=I$1,COUNTIF(Draft_Import!$D$2:'Draft_Import'!$D15,I$1),"")</f>
        <v/>
      </c>
      <c r="J15">
        <f>IFERROR(INDEX(Draft_Import!$E$2:$E$250,MATCH(ROWS(J$2:J15),I$2:I$250,0)),"")</f>
        <v/>
      </c>
      <c r="K15">
        <f>IF(Draft_Import!$D15=K$1,COUNTIF(Draft_Import!$D$2:'Draft_Import'!$D15,K$1),"")</f>
        <v/>
      </c>
      <c r="L15">
        <f>IFERROR(INDEX(Draft_Import!$E$2:$E$250,MATCH(ROWS(L$2:L15),K$2:K$250,0)),"")</f>
        <v/>
      </c>
      <c r="M15">
        <f>IF(Draft_Import!$D15=M$1,COUNTIF(Draft_Import!$D$2:'Draft_Import'!$D15,M$1),"")</f>
        <v/>
      </c>
      <c r="N15">
        <f>IFERROR(INDEX(Draft_Import!$E$2:$E$250,MATCH(ROWS(N$2:N15),M$2:M$250,0)),"")</f>
        <v/>
      </c>
      <c r="O15">
        <f>IF(Draft_Import!$D15=O$1,COUNTIF(Draft_Import!$D$2:'Draft_Import'!$D15,O$1),"")</f>
        <v/>
      </c>
      <c r="P15">
        <f>IFERROR(INDEX(Draft_Import!$E$2:$E$250,MATCH(ROWS(P$2:P15),O$2:O$250,0)),"")</f>
        <v/>
      </c>
      <c r="Q15">
        <f>IF(Draft_Import!$D15=Q$1,COUNTIF(Draft_Import!$D$2:'Draft_Import'!$D15,Q$1),"")</f>
        <v/>
      </c>
      <c r="R15">
        <f>IFERROR(INDEX(Draft_Import!$E$2:$E$250,MATCH(ROWS(R$2:R15),Q$2:Q$250,0)),"")</f>
        <v/>
      </c>
      <c r="S15">
        <f>IF(Draft_Import!$D15=S$1,COUNTIF(Draft_Import!$D$2:'Draft_Import'!$D15,S$1),"")</f>
        <v/>
      </c>
      <c r="T15">
        <f>IFERROR(INDEX(Draft_Import!$E$2:$E$250,MATCH(ROWS(T$2:T15),S$2:S$250,0)),"")</f>
        <v/>
      </c>
    </row>
    <row r="16">
      <c r="A16">
        <f>IF(Draft_Import!$D16=A$1,COUNTIF(Draft_Import!$D$2:'Draft_Import'!$D16,A$1),"")</f>
        <v/>
      </c>
      <c r="B16">
        <f>IFERROR(INDEX(Draft_Import!$E$2:$E$250,MATCH(ROWS(B$2:B16),A$2:A$250,0)),"")</f>
        <v/>
      </c>
      <c r="C16">
        <f>IF(Draft_Import!$D16=C$1,COUNTIF(Draft_Import!$D$2:'Draft_Import'!$D16,C$1),"")</f>
        <v/>
      </c>
      <c r="D16">
        <f>IFERROR(INDEX(Draft_Import!$E$2:$E$250,MATCH(ROWS(D$2:D16),C$2:C$250,0)),"")</f>
        <v/>
      </c>
      <c r="E16">
        <f>IF(Draft_Import!$D16=E$1,COUNTIF(Draft_Import!$D$2:'Draft_Import'!$D16,E$1),"")</f>
        <v/>
      </c>
      <c r="F16">
        <f>IFERROR(INDEX(Draft_Import!$E$2:$E$250,MATCH(ROWS(F$2:F16),E$2:E$250,0)),"")</f>
        <v/>
      </c>
      <c r="G16">
        <f>IF(Draft_Import!$D16=G$1,COUNTIF(Draft_Import!$D$2:'Draft_Import'!$D16,G$1),"")</f>
        <v/>
      </c>
      <c r="H16">
        <f>IFERROR(INDEX(Draft_Import!$E$2:$E$250,MATCH(ROWS(H$2:H16),G$2:G$250,0)),"")</f>
        <v/>
      </c>
      <c r="I16">
        <f>IF(Draft_Import!$D16=I$1,COUNTIF(Draft_Import!$D$2:'Draft_Import'!$D16,I$1),"")</f>
        <v/>
      </c>
      <c r="J16">
        <f>IFERROR(INDEX(Draft_Import!$E$2:$E$250,MATCH(ROWS(J$2:J16),I$2:I$250,0)),"")</f>
        <v/>
      </c>
      <c r="K16">
        <f>IF(Draft_Import!$D16=K$1,COUNTIF(Draft_Import!$D$2:'Draft_Import'!$D16,K$1),"")</f>
        <v/>
      </c>
      <c r="L16">
        <f>IFERROR(INDEX(Draft_Import!$E$2:$E$250,MATCH(ROWS(L$2:L16),K$2:K$250,0)),"")</f>
        <v/>
      </c>
      <c r="M16">
        <f>IF(Draft_Import!$D16=M$1,COUNTIF(Draft_Import!$D$2:'Draft_Import'!$D16,M$1),"")</f>
        <v/>
      </c>
      <c r="N16">
        <f>IFERROR(INDEX(Draft_Import!$E$2:$E$250,MATCH(ROWS(N$2:N16),M$2:M$250,0)),"")</f>
        <v/>
      </c>
      <c r="O16">
        <f>IF(Draft_Import!$D16=O$1,COUNTIF(Draft_Import!$D$2:'Draft_Import'!$D16,O$1),"")</f>
        <v/>
      </c>
      <c r="P16">
        <f>IFERROR(INDEX(Draft_Import!$E$2:$E$250,MATCH(ROWS(P$2:P16),O$2:O$250,0)),"")</f>
        <v/>
      </c>
      <c r="Q16">
        <f>IF(Draft_Import!$D16=Q$1,COUNTIF(Draft_Import!$D$2:'Draft_Import'!$D16,Q$1),"")</f>
        <v/>
      </c>
      <c r="R16">
        <f>IFERROR(INDEX(Draft_Import!$E$2:$E$250,MATCH(ROWS(R$2:R16),Q$2:Q$250,0)),"")</f>
        <v/>
      </c>
      <c r="S16">
        <f>IF(Draft_Import!$D16=S$1,COUNTIF(Draft_Import!$D$2:'Draft_Import'!$D16,S$1),"")</f>
        <v/>
      </c>
      <c r="T16">
        <f>IFERROR(INDEX(Draft_Import!$E$2:$E$250,MATCH(ROWS(T$2:T16),S$2:S$250,0)),"")</f>
        <v/>
      </c>
    </row>
    <row r="17">
      <c r="A17">
        <f>IF(Draft_Import!$D17=A$1,COUNTIF(Draft_Import!$D$2:'Draft_Import'!$D17,A$1),"")</f>
        <v/>
      </c>
      <c r="B17">
        <f>IFERROR(INDEX(Draft_Import!$E$2:$E$250,MATCH(ROWS(B$2:B17),A$2:A$250,0)),"")</f>
        <v/>
      </c>
      <c r="C17">
        <f>IF(Draft_Import!$D17=C$1,COUNTIF(Draft_Import!$D$2:'Draft_Import'!$D17,C$1),"")</f>
        <v/>
      </c>
      <c r="D17">
        <f>IFERROR(INDEX(Draft_Import!$E$2:$E$250,MATCH(ROWS(D$2:D17),C$2:C$250,0)),"")</f>
        <v/>
      </c>
      <c r="E17">
        <f>IF(Draft_Import!$D17=E$1,COUNTIF(Draft_Import!$D$2:'Draft_Import'!$D17,E$1),"")</f>
        <v/>
      </c>
      <c r="F17">
        <f>IFERROR(INDEX(Draft_Import!$E$2:$E$250,MATCH(ROWS(F$2:F17),E$2:E$250,0)),"")</f>
        <v/>
      </c>
      <c r="G17">
        <f>IF(Draft_Import!$D17=G$1,COUNTIF(Draft_Import!$D$2:'Draft_Import'!$D17,G$1),"")</f>
        <v/>
      </c>
      <c r="H17">
        <f>IFERROR(INDEX(Draft_Import!$E$2:$E$250,MATCH(ROWS(H$2:H17),G$2:G$250,0)),"")</f>
        <v/>
      </c>
      <c r="I17">
        <f>IF(Draft_Import!$D17=I$1,COUNTIF(Draft_Import!$D$2:'Draft_Import'!$D17,I$1),"")</f>
        <v/>
      </c>
      <c r="J17">
        <f>IFERROR(INDEX(Draft_Import!$E$2:$E$250,MATCH(ROWS(J$2:J17),I$2:I$250,0)),"")</f>
        <v/>
      </c>
      <c r="K17">
        <f>IF(Draft_Import!$D17=K$1,COUNTIF(Draft_Import!$D$2:'Draft_Import'!$D17,K$1),"")</f>
        <v/>
      </c>
      <c r="L17">
        <f>IFERROR(INDEX(Draft_Import!$E$2:$E$250,MATCH(ROWS(L$2:L17),K$2:K$250,0)),"")</f>
        <v/>
      </c>
      <c r="M17">
        <f>IF(Draft_Import!$D17=M$1,COUNTIF(Draft_Import!$D$2:'Draft_Import'!$D17,M$1),"")</f>
        <v/>
      </c>
      <c r="N17">
        <f>IFERROR(INDEX(Draft_Import!$E$2:$E$250,MATCH(ROWS(N$2:N17),M$2:M$250,0)),"")</f>
        <v/>
      </c>
      <c r="O17">
        <f>IF(Draft_Import!$D17=O$1,COUNTIF(Draft_Import!$D$2:'Draft_Import'!$D17,O$1),"")</f>
        <v/>
      </c>
      <c r="P17">
        <f>IFERROR(INDEX(Draft_Import!$E$2:$E$250,MATCH(ROWS(P$2:P17),O$2:O$250,0)),"")</f>
        <v/>
      </c>
      <c r="Q17">
        <f>IF(Draft_Import!$D17=Q$1,COUNTIF(Draft_Import!$D$2:'Draft_Import'!$D17,Q$1),"")</f>
        <v/>
      </c>
      <c r="R17">
        <f>IFERROR(INDEX(Draft_Import!$E$2:$E$250,MATCH(ROWS(R$2:R17),Q$2:Q$250,0)),"")</f>
        <v/>
      </c>
      <c r="S17">
        <f>IF(Draft_Import!$D17=S$1,COUNTIF(Draft_Import!$D$2:'Draft_Import'!$D17,S$1),"")</f>
        <v/>
      </c>
      <c r="T17">
        <f>IFERROR(INDEX(Draft_Import!$E$2:$E$250,MATCH(ROWS(T$2:T17),S$2:S$250,0)),"")</f>
        <v/>
      </c>
    </row>
    <row r="18">
      <c r="A18">
        <f>IF(Draft_Import!$D18=A$1,COUNTIF(Draft_Import!$D$2:'Draft_Import'!$D18,A$1),"")</f>
        <v/>
      </c>
      <c r="B18">
        <f>IFERROR(INDEX(Draft_Import!$E$2:$E$250,MATCH(ROWS(B$2:B18),A$2:A$250,0)),"")</f>
        <v/>
      </c>
      <c r="C18">
        <f>IF(Draft_Import!$D18=C$1,COUNTIF(Draft_Import!$D$2:'Draft_Import'!$D18,C$1),"")</f>
        <v/>
      </c>
      <c r="D18">
        <f>IFERROR(INDEX(Draft_Import!$E$2:$E$250,MATCH(ROWS(D$2:D18),C$2:C$250,0)),"")</f>
        <v/>
      </c>
      <c r="E18">
        <f>IF(Draft_Import!$D18=E$1,COUNTIF(Draft_Import!$D$2:'Draft_Import'!$D18,E$1),"")</f>
        <v/>
      </c>
      <c r="F18">
        <f>IFERROR(INDEX(Draft_Import!$E$2:$E$250,MATCH(ROWS(F$2:F18),E$2:E$250,0)),"")</f>
        <v/>
      </c>
      <c r="G18">
        <f>IF(Draft_Import!$D18=G$1,COUNTIF(Draft_Import!$D$2:'Draft_Import'!$D18,G$1),"")</f>
        <v/>
      </c>
      <c r="H18">
        <f>IFERROR(INDEX(Draft_Import!$E$2:$E$250,MATCH(ROWS(H$2:H18),G$2:G$250,0)),"")</f>
        <v/>
      </c>
      <c r="I18">
        <f>IF(Draft_Import!$D18=I$1,COUNTIF(Draft_Import!$D$2:'Draft_Import'!$D18,I$1),"")</f>
        <v/>
      </c>
      <c r="J18">
        <f>IFERROR(INDEX(Draft_Import!$E$2:$E$250,MATCH(ROWS(J$2:J18),I$2:I$250,0)),"")</f>
        <v/>
      </c>
      <c r="K18">
        <f>IF(Draft_Import!$D18=K$1,COUNTIF(Draft_Import!$D$2:'Draft_Import'!$D18,K$1),"")</f>
        <v/>
      </c>
      <c r="L18">
        <f>IFERROR(INDEX(Draft_Import!$E$2:$E$250,MATCH(ROWS(L$2:L18),K$2:K$250,0)),"")</f>
        <v/>
      </c>
      <c r="M18">
        <f>IF(Draft_Import!$D18=M$1,COUNTIF(Draft_Import!$D$2:'Draft_Import'!$D18,M$1),"")</f>
        <v/>
      </c>
      <c r="N18">
        <f>IFERROR(INDEX(Draft_Import!$E$2:$E$250,MATCH(ROWS(N$2:N18),M$2:M$250,0)),"")</f>
        <v/>
      </c>
      <c r="O18">
        <f>IF(Draft_Import!$D18=O$1,COUNTIF(Draft_Import!$D$2:'Draft_Import'!$D18,O$1),"")</f>
        <v/>
      </c>
      <c r="P18">
        <f>IFERROR(INDEX(Draft_Import!$E$2:$E$250,MATCH(ROWS(P$2:P18),O$2:O$250,0)),"")</f>
        <v/>
      </c>
      <c r="Q18">
        <f>IF(Draft_Import!$D18=Q$1,COUNTIF(Draft_Import!$D$2:'Draft_Import'!$D18,Q$1),"")</f>
        <v/>
      </c>
      <c r="R18">
        <f>IFERROR(INDEX(Draft_Import!$E$2:$E$250,MATCH(ROWS(R$2:R18),Q$2:Q$250,0)),"")</f>
        <v/>
      </c>
      <c r="S18">
        <f>IF(Draft_Import!$D18=S$1,COUNTIF(Draft_Import!$D$2:'Draft_Import'!$D18,S$1),"")</f>
        <v/>
      </c>
      <c r="T18">
        <f>IFERROR(INDEX(Draft_Import!$E$2:$E$250,MATCH(ROWS(T$2:T18),S$2:S$250,0)),"")</f>
        <v/>
      </c>
    </row>
    <row r="19">
      <c r="A19">
        <f>IF(Draft_Import!$D19=A$1,COUNTIF(Draft_Import!$D$2:'Draft_Import'!$D19,A$1),"")</f>
        <v/>
      </c>
      <c r="B19">
        <f>IFERROR(INDEX(Draft_Import!$E$2:$E$250,MATCH(ROWS(B$2:B19),A$2:A$250,0)),"")</f>
        <v/>
      </c>
      <c r="C19">
        <f>IF(Draft_Import!$D19=C$1,COUNTIF(Draft_Import!$D$2:'Draft_Import'!$D19,C$1),"")</f>
        <v/>
      </c>
      <c r="D19">
        <f>IFERROR(INDEX(Draft_Import!$E$2:$E$250,MATCH(ROWS(D$2:D19),C$2:C$250,0)),"")</f>
        <v/>
      </c>
      <c r="E19">
        <f>IF(Draft_Import!$D19=E$1,COUNTIF(Draft_Import!$D$2:'Draft_Import'!$D19,E$1),"")</f>
        <v/>
      </c>
      <c r="F19">
        <f>IFERROR(INDEX(Draft_Import!$E$2:$E$250,MATCH(ROWS(F$2:F19),E$2:E$250,0)),"")</f>
        <v/>
      </c>
      <c r="G19">
        <f>IF(Draft_Import!$D19=G$1,COUNTIF(Draft_Import!$D$2:'Draft_Import'!$D19,G$1),"")</f>
        <v/>
      </c>
      <c r="H19">
        <f>IFERROR(INDEX(Draft_Import!$E$2:$E$250,MATCH(ROWS(H$2:H19),G$2:G$250,0)),"")</f>
        <v/>
      </c>
      <c r="I19">
        <f>IF(Draft_Import!$D19=I$1,COUNTIF(Draft_Import!$D$2:'Draft_Import'!$D19,I$1),"")</f>
        <v/>
      </c>
      <c r="J19">
        <f>IFERROR(INDEX(Draft_Import!$E$2:$E$250,MATCH(ROWS(J$2:J19),I$2:I$250,0)),"")</f>
        <v/>
      </c>
      <c r="K19">
        <f>IF(Draft_Import!$D19=K$1,COUNTIF(Draft_Import!$D$2:'Draft_Import'!$D19,K$1),"")</f>
        <v/>
      </c>
      <c r="L19">
        <f>IFERROR(INDEX(Draft_Import!$E$2:$E$250,MATCH(ROWS(L$2:L19),K$2:K$250,0)),"")</f>
        <v/>
      </c>
      <c r="M19">
        <f>IF(Draft_Import!$D19=M$1,COUNTIF(Draft_Import!$D$2:'Draft_Import'!$D19,M$1),"")</f>
        <v/>
      </c>
      <c r="N19">
        <f>IFERROR(INDEX(Draft_Import!$E$2:$E$250,MATCH(ROWS(N$2:N19),M$2:M$250,0)),"")</f>
        <v/>
      </c>
      <c r="O19">
        <f>IF(Draft_Import!$D19=O$1,COUNTIF(Draft_Import!$D$2:'Draft_Import'!$D19,O$1),"")</f>
        <v/>
      </c>
      <c r="P19">
        <f>IFERROR(INDEX(Draft_Import!$E$2:$E$250,MATCH(ROWS(P$2:P19),O$2:O$250,0)),"")</f>
        <v/>
      </c>
      <c r="Q19">
        <f>IF(Draft_Import!$D19=Q$1,COUNTIF(Draft_Import!$D$2:'Draft_Import'!$D19,Q$1),"")</f>
        <v/>
      </c>
      <c r="R19">
        <f>IFERROR(INDEX(Draft_Import!$E$2:$E$250,MATCH(ROWS(R$2:R19),Q$2:Q$250,0)),"")</f>
        <v/>
      </c>
      <c r="S19">
        <f>IF(Draft_Import!$D19=S$1,COUNTIF(Draft_Import!$D$2:'Draft_Import'!$D19,S$1),"")</f>
        <v/>
      </c>
      <c r="T19">
        <f>IFERROR(INDEX(Draft_Import!$E$2:$E$250,MATCH(ROWS(T$2:T19),S$2:S$250,0)),"")</f>
        <v/>
      </c>
    </row>
    <row r="20">
      <c r="A20">
        <f>IF(Draft_Import!$D20=A$1,COUNTIF(Draft_Import!$D$2:'Draft_Import'!$D20,A$1),"")</f>
        <v/>
      </c>
      <c r="B20">
        <f>IFERROR(INDEX(Draft_Import!$E$2:$E$250,MATCH(ROWS(B$2:B20),A$2:A$250,0)),"")</f>
        <v/>
      </c>
      <c r="C20">
        <f>IF(Draft_Import!$D20=C$1,COUNTIF(Draft_Import!$D$2:'Draft_Import'!$D20,C$1),"")</f>
        <v/>
      </c>
      <c r="D20">
        <f>IFERROR(INDEX(Draft_Import!$E$2:$E$250,MATCH(ROWS(D$2:D20),C$2:C$250,0)),"")</f>
        <v/>
      </c>
      <c r="E20">
        <f>IF(Draft_Import!$D20=E$1,COUNTIF(Draft_Import!$D$2:'Draft_Import'!$D20,E$1),"")</f>
        <v/>
      </c>
      <c r="F20">
        <f>IFERROR(INDEX(Draft_Import!$E$2:$E$250,MATCH(ROWS(F$2:F20),E$2:E$250,0)),"")</f>
        <v/>
      </c>
      <c r="G20">
        <f>IF(Draft_Import!$D20=G$1,COUNTIF(Draft_Import!$D$2:'Draft_Import'!$D20,G$1),"")</f>
        <v/>
      </c>
      <c r="H20">
        <f>IFERROR(INDEX(Draft_Import!$E$2:$E$250,MATCH(ROWS(H$2:H20),G$2:G$250,0)),"")</f>
        <v/>
      </c>
      <c r="I20">
        <f>IF(Draft_Import!$D20=I$1,COUNTIF(Draft_Import!$D$2:'Draft_Import'!$D20,I$1),"")</f>
        <v/>
      </c>
      <c r="J20">
        <f>IFERROR(INDEX(Draft_Import!$E$2:$E$250,MATCH(ROWS(J$2:J20),I$2:I$250,0)),"")</f>
        <v/>
      </c>
      <c r="K20">
        <f>IF(Draft_Import!$D20=K$1,COUNTIF(Draft_Import!$D$2:'Draft_Import'!$D20,K$1),"")</f>
        <v/>
      </c>
      <c r="L20">
        <f>IFERROR(INDEX(Draft_Import!$E$2:$E$250,MATCH(ROWS(L$2:L20),K$2:K$250,0)),"")</f>
        <v/>
      </c>
      <c r="M20">
        <f>IF(Draft_Import!$D20=M$1,COUNTIF(Draft_Import!$D$2:'Draft_Import'!$D20,M$1),"")</f>
        <v/>
      </c>
      <c r="N20">
        <f>IFERROR(INDEX(Draft_Import!$E$2:$E$250,MATCH(ROWS(N$2:N20),M$2:M$250,0)),"")</f>
        <v/>
      </c>
      <c r="O20">
        <f>IF(Draft_Import!$D20=O$1,COUNTIF(Draft_Import!$D$2:'Draft_Import'!$D20,O$1),"")</f>
        <v/>
      </c>
      <c r="P20">
        <f>IFERROR(INDEX(Draft_Import!$E$2:$E$250,MATCH(ROWS(P$2:P20),O$2:O$250,0)),"")</f>
        <v/>
      </c>
      <c r="Q20">
        <f>IF(Draft_Import!$D20=Q$1,COUNTIF(Draft_Import!$D$2:'Draft_Import'!$D20,Q$1),"")</f>
        <v/>
      </c>
      <c r="R20">
        <f>IFERROR(INDEX(Draft_Import!$E$2:$E$250,MATCH(ROWS(R$2:R20),Q$2:Q$250,0)),"")</f>
        <v/>
      </c>
      <c r="S20">
        <f>IF(Draft_Import!$D20=S$1,COUNTIF(Draft_Import!$D$2:'Draft_Import'!$D20,S$1),"")</f>
        <v/>
      </c>
      <c r="T20">
        <f>IFERROR(INDEX(Draft_Import!$E$2:$E$250,MATCH(ROWS(T$2:T20),S$2:S$250,0)),"")</f>
        <v/>
      </c>
    </row>
    <row r="21">
      <c r="A21">
        <f>IF(Draft_Import!$D21=A$1,COUNTIF(Draft_Import!$D$2:'Draft_Import'!$D21,A$1),"")</f>
        <v/>
      </c>
      <c r="B21">
        <f>IFERROR(INDEX(Draft_Import!$E$2:$E$250,MATCH(ROWS(B$2:B21),A$2:A$250,0)),"")</f>
        <v/>
      </c>
      <c r="C21">
        <f>IF(Draft_Import!$D21=C$1,COUNTIF(Draft_Import!$D$2:'Draft_Import'!$D21,C$1),"")</f>
        <v/>
      </c>
      <c r="D21">
        <f>IFERROR(INDEX(Draft_Import!$E$2:$E$250,MATCH(ROWS(D$2:D21),C$2:C$250,0)),"")</f>
        <v/>
      </c>
      <c r="E21">
        <f>IF(Draft_Import!$D21=E$1,COUNTIF(Draft_Import!$D$2:'Draft_Import'!$D21,E$1),"")</f>
        <v/>
      </c>
      <c r="F21">
        <f>IFERROR(INDEX(Draft_Import!$E$2:$E$250,MATCH(ROWS(F$2:F21),E$2:E$250,0)),"")</f>
        <v/>
      </c>
      <c r="G21">
        <f>IF(Draft_Import!$D21=G$1,COUNTIF(Draft_Import!$D$2:'Draft_Import'!$D21,G$1),"")</f>
        <v/>
      </c>
      <c r="H21">
        <f>IFERROR(INDEX(Draft_Import!$E$2:$E$250,MATCH(ROWS(H$2:H21),G$2:G$250,0)),"")</f>
        <v/>
      </c>
      <c r="I21">
        <f>IF(Draft_Import!$D21=I$1,COUNTIF(Draft_Import!$D$2:'Draft_Import'!$D21,I$1),"")</f>
        <v/>
      </c>
      <c r="J21">
        <f>IFERROR(INDEX(Draft_Import!$E$2:$E$250,MATCH(ROWS(J$2:J21),I$2:I$250,0)),"")</f>
        <v/>
      </c>
      <c r="K21">
        <f>IF(Draft_Import!$D21=K$1,COUNTIF(Draft_Import!$D$2:'Draft_Import'!$D21,K$1),"")</f>
        <v/>
      </c>
      <c r="L21">
        <f>IFERROR(INDEX(Draft_Import!$E$2:$E$250,MATCH(ROWS(L$2:L21),K$2:K$250,0)),"")</f>
        <v/>
      </c>
      <c r="M21">
        <f>IF(Draft_Import!$D21=M$1,COUNTIF(Draft_Import!$D$2:'Draft_Import'!$D21,M$1),"")</f>
        <v/>
      </c>
      <c r="N21">
        <f>IFERROR(INDEX(Draft_Import!$E$2:$E$250,MATCH(ROWS(N$2:N21),M$2:M$250,0)),"")</f>
        <v/>
      </c>
      <c r="O21">
        <f>IF(Draft_Import!$D21=O$1,COUNTIF(Draft_Import!$D$2:'Draft_Import'!$D21,O$1),"")</f>
        <v/>
      </c>
      <c r="P21">
        <f>IFERROR(INDEX(Draft_Import!$E$2:$E$250,MATCH(ROWS(P$2:P21),O$2:O$250,0)),"")</f>
        <v/>
      </c>
      <c r="Q21">
        <f>IF(Draft_Import!$D21=Q$1,COUNTIF(Draft_Import!$D$2:'Draft_Import'!$D21,Q$1),"")</f>
        <v/>
      </c>
      <c r="R21">
        <f>IFERROR(INDEX(Draft_Import!$E$2:$E$250,MATCH(ROWS(R$2:R21),Q$2:Q$250,0)),"")</f>
        <v/>
      </c>
      <c r="S21">
        <f>IF(Draft_Import!$D21=S$1,COUNTIF(Draft_Import!$D$2:'Draft_Import'!$D21,S$1),"")</f>
        <v/>
      </c>
      <c r="T21">
        <f>IFERROR(INDEX(Draft_Import!$E$2:$E$250,MATCH(ROWS(T$2:T21),S$2:S$250,0)),"")</f>
        <v/>
      </c>
    </row>
    <row r="22">
      <c r="A22">
        <f>IF(Draft_Import!$D22=A$1,COUNTIF(Draft_Import!$D$2:'Draft_Import'!$D22,A$1),"")</f>
        <v/>
      </c>
      <c r="C22">
        <f>IF(Draft_Import!$D22=C$1,COUNTIF(Draft_Import!$D$2:'Draft_Import'!$D22,C$1),"")</f>
        <v/>
      </c>
      <c r="E22">
        <f>IF(Draft_Import!$D22=E$1,COUNTIF(Draft_Import!$D$2:'Draft_Import'!$D22,E$1),"")</f>
        <v/>
      </c>
      <c r="G22">
        <f>IF(Draft_Import!$D22=G$1,COUNTIF(Draft_Import!$D$2:'Draft_Import'!$D22,G$1),"")</f>
        <v/>
      </c>
      <c r="I22">
        <f>IF(Draft_Import!$D22=I$1,COUNTIF(Draft_Import!$D$2:'Draft_Import'!$D22,I$1),"")</f>
        <v/>
      </c>
      <c r="K22">
        <f>IF(Draft_Import!$D22=K$1,COUNTIF(Draft_Import!$D$2:'Draft_Import'!$D22,K$1),"")</f>
        <v/>
      </c>
      <c r="M22">
        <f>IF(Draft_Import!$D22=M$1,COUNTIF(Draft_Import!$D$2:'Draft_Import'!$D22,M$1),"")</f>
        <v/>
      </c>
      <c r="O22">
        <f>IF(Draft_Import!$D22=O$1,COUNTIF(Draft_Import!$D$2:'Draft_Import'!$D22,O$1),"")</f>
        <v/>
      </c>
      <c r="Q22">
        <f>IF(Draft_Import!$D22=Q$1,COUNTIF(Draft_Import!$D$2:'Draft_Import'!$D22,Q$1),"")</f>
        <v/>
      </c>
      <c r="S22">
        <f>IF(Draft_Import!$D22=S$1,COUNTIF(Draft_Import!$D$2:'Draft_Import'!$D22,S$1),"")</f>
        <v/>
      </c>
    </row>
    <row r="23">
      <c r="A23">
        <f>IF(Draft_Import!$D23=A$1,COUNTIF(Draft_Import!$D$2:'Draft_Import'!$D23,A$1),"")</f>
        <v/>
      </c>
      <c r="C23">
        <f>IF(Draft_Import!$D23=C$1,COUNTIF(Draft_Import!$D$2:'Draft_Import'!$D23,C$1),"")</f>
        <v/>
      </c>
      <c r="E23">
        <f>IF(Draft_Import!$D23=E$1,COUNTIF(Draft_Import!$D$2:'Draft_Import'!$D23,E$1),"")</f>
        <v/>
      </c>
      <c r="G23">
        <f>IF(Draft_Import!$D23=G$1,COUNTIF(Draft_Import!$D$2:'Draft_Import'!$D23,G$1),"")</f>
        <v/>
      </c>
      <c r="I23">
        <f>IF(Draft_Import!$D23=I$1,COUNTIF(Draft_Import!$D$2:'Draft_Import'!$D23,I$1),"")</f>
        <v/>
      </c>
      <c r="K23">
        <f>IF(Draft_Import!$D23=K$1,COUNTIF(Draft_Import!$D$2:'Draft_Import'!$D23,K$1),"")</f>
        <v/>
      </c>
      <c r="M23">
        <f>IF(Draft_Import!$D23=M$1,COUNTIF(Draft_Import!$D$2:'Draft_Import'!$D23,M$1),"")</f>
        <v/>
      </c>
      <c r="O23">
        <f>IF(Draft_Import!$D23=O$1,COUNTIF(Draft_Import!$D$2:'Draft_Import'!$D23,O$1),"")</f>
        <v/>
      </c>
      <c r="Q23">
        <f>IF(Draft_Import!$D23=Q$1,COUNTIF(Draft_Import!$D$2:'Draft_Import'!$D23,Q$1),"")</f>
        <v/>
      </c>
      <c r="S23">
        <f>IF(Draft_Import!$D23=S$1,COUNTIF(Draft_Import!$D$2:'Draft_Import'!$D23,S$1),"")</f>
        <v/>
      </c>
    </row>
    <row r="24">
      <c r="A24">
        <f>IF(Draft_Import!$D24=A$1,COUNTIF(Draft_Import!$D$2:'Draft_Import'!$D24,A$1),"")</f>
        <v/>
      </c>
      <c r="C24">
        <f>IF(Draft_Import!$D24=C$1,COUNTIF(Draft_Import!$D$2:'Draft_Import'!$D24,C$1),"")</f>
        <v/>
      </c>
      <c r="E24">
        <f>IF(Draft_Import!$D24=E$1,COUNTIF(Draft_Import!$D$2:'Draft_Import'!$D24,E$1),"")</f>
        <v/>
      </c>
      <c r="G24">
        <f>IF(Draft_Import!$D24=G$1,COUNTIF(Draft_Import!$D$2:'Draft_Import'!$D24,G$1),"")</f>
        <v/>
      </c>
      <c r="I24">
        <f>IF(Draft_Import!$D24=I$1,COUNTIF(Draft_Import!$D$2:'Draft_Import'!$D24,I$1),"")</f>
        <v/>
      </c>
      <c r="K24">
        <f>IF(Draft_Import!$D24=K$1,COUNTIF(Draft_Import!$D$2:'Draft_Import'!$D24,K$1),"")</f>
        <v/>
      </c>
      <c r="M24">
        <f>IF(Draft_Import!$D24=M$1,COUNTIF(Draft_Import!$D$2:'Draft_Import'!$D24,M$1),"")</f>
        <v/>
      </c>
      <c r="O24">
        <f>IF(Draft_Import!$D24=O$1,COUNTIF(Draft_Import!$D$2:'Draft_Import'!$D24,O$1),"")</f>
        <v/>
      </c>
      <c r="Q24">
        <f>IF(Draft_Import!$D24=Q$1,COUNTIF(Draft_Import!$D$2:'Draft_Import'!$D24,Q$1),"")</f>
        <v/>
      </c>
      <c r="S24">
        <f>IF(Draft_Import!$D24=S$1,COUNTIF(Draft_Import!$D$2:'Draft_Import'!$D24,S$1),"")</f>
        <v/>
      </c>
    </row>
    <row r="25">
      <c r="A25">
        <f>IF(Draft_Import!$D25=A$1,COUNTIF(Draft_Import!$D$2:'Draft_Import'!$D25,A$1),"")</f>
        <v/>
      </c>
      <c r="C25">
        <f>IF(Draft_Import!$D25=C$1,COUNTIF(Draft_Import!$D$2:'Draft_Import'!$D25,C$1),"")</f>
        <v/>
      </c>
      <c r="E25">
        <f>IF(Draft_Import!$D25=E$1,COUNTIF(Draft_Import!$D$2:'Draft_Import'!$D25,E$1),"")</f>
        <v/>
      </c>
      <c r="G25">
        <f>IF(Draft_Import!$D25=G$1,COUNTIF(Draft_Import!$D$2:'Draft_Import'!$D25,G$1),"")</f>
        <v/>
      </c>
      <c r="I25">
        <f>IF(Draft_Import!$D25=I$1,COUNTIF(Draft_Import!$D$2:'Draft_Import'!$D25,I$1),"")</f>
        <v/>
      </c>
      <c r="K25">
        <f>IF(Draft_Import!$D25=K$1,COUNTIF(Draft_Import!$D$2:'Draft_Import'!$D25,K$1),"")</f>
        <v/>
      </c>
      <c r="M25">
        <f>IF(Draft_Import!$D25=M$1,COUNTIF(Draft_Import!$D$2:'Draft_Import'!$D25,M$1),"")</f>
        <v/>
      </c>
      <c r="O25">
        <f>IF(Draft_Import!$D25=O$1,COUNTIF(Draft_Import!$D$2:'Draft_Import'!$D25,O$1),"")</f>
        <v/>
      </c>
      <c r="Q25">
        <f>IF(Draft_Import!$D25=Q$1,COUNTIF(Draft_Import!$D$2:'Draft_Import'!$D25,Q$1),"")</f>
        <v/>
      </c>
      <c r="S25">
        <f>IF(Draft_Import!$D25=S$1,COUNTIF(Draft_Import!$D$2:'Draft_Import'!$D25,S$1),"")</f>
        <v/>
      </c>
    </row>
    <row r="26">
      <c r="A26">
        <f>IF(Draft_Import!$D26=A$1,COUNTIF(Draft_Import!$D$2:'Draft_Import'!$D26,A$1),"")</f>
        <v/>
      </c>
      <c r="C26">
        <f>IF(Draft_Import!$D26=C$1,COUNTIF(Draft_Import!$D$2:'Draft_Import'!$D26,C$1),"")</f>
        <v/>
      </c>
      <c r="E26">
        <f>IF(Draft_Import!$D26=E$1,COUNTIF(Draft_Import!$D$2:'Draft_Import'!$D26,E$1),"")</f>
        <v/>
      </c>
      <c r="G26">
        <f>IF(Draft_Import!$D26=G$1,COUNTIF(Draft_Import!$D$2:'Draft_Import'!$D26,G$1),"")</f>
        <v/>
      </c>
      <c r="I26">
        <f>IF(Draft_Import!$D26=I$1,COUNTIF(Draft_Import!$D$2:'Draft_Import'!$D26,I$1),"")</f>
        <v/>
      </c>
      <c r="K26">
        <f>IF(Draft_Import!$D26=K$1,COUNTIF(Draft_Import!$D$2:'Draft_Import'!$D26,K$1),"")</f>
        <v/>
      </c>
      <c r="M26">
        <f>IF(Draft_Import!$D26=M$1,COUNTIF(Draft_Import!$D$2:'Draft_Import'!$D26,M$1),"")</f>
        <v/>
      </c>
      <c r="O26">
        <f>IF(Draft_Import!$D26=O$1,COUNTIF(Draft_Import!$D$2:'Draft_Import'!$D26,O$1),"")</f>
        <v/>
      </c>
      <c r="Q26">
        <f>IF(Draft_Import!$D26=Q$1,COUNTIF(Draft_Import!$D$2:'Draft_Import'!$D26,Q$1),"")</f>
        <v/>
      </c>
      <c r="S26">
        <f>IF(Draft_Import!$D26=S$1,COUNTIF(Draft_Import!$D$2:'Draft_Import'!$D26,S$1),"")</f>
        <v/>
      </c>
    </row>
    <row r="27">
      <c r="A27">
        <f>IF(Draft_Import!$D27=A$1,COUNTIF(Draft_Import!$D$2:'Draft_Import'!$D27,A$1),"")</f>
        <v/>
      </c>
      <c r="C27">
        <f>IF(Draft_Import!$D27=C$1,COUNTIF(Draft_Import!$D$2:'Draft_Import'!$D27,C$1),"")</f>
        <v/>
      </c>
      <c r="E27">
        <f>IF(Draft_Import!$D27=E$1,COUNTIF(Draft_Import!$D$2:'Draft_Import'!$D27,E$1),"")</f>
        <v/>
      </c>
      <c r="G27">
        <f>IF(Draft_Import!$D27=G$1,COUNTIF(Draft_Import!$D$2:'Draft_Import'!$D27,G$1),"")</f>
        <v/>
      </c>
      <c r="I27">
        <f>IF(Draft_Import!$D27=I$1,COUNTIF(Draft_Import!$D$2:'Draft_Import'!$D27,I$1),"")</f>
        <v/>
      </c>
      <c r="K27">
        <f>IF(Draft_Import!$D27=K$1,COUNTIF(Draft_Import!$D$2:'Draft_Import'!$D27,K$1),"")</f>
        <v/>
      </c>
      <c r="M27">
        <f>IF(Draft_Import!$D27=M$1,COUNTIF(Draft_Import!$D$2:'Draft_Import'!$D27,M$1),"")</f>
        <v/>
      </c>
      <c r="O27">
        <f>IF(Draft_Import!$D27=O$1,COUNTIF(Draft_Import!$D$2:'Draft_Import'!$D27,O$1),"")</f>
        <v/>
      </c>
      <c r="Q27">
        <f>IF(Draft_Import!$D27=Q$1,COUNTIF(Draft_Import!$D$2:'Draft_Import'!$D27,Q$1),"")</f>
        <v/>
      </c>
      <c r="S27">
        <f>IF(Draft_Import!$D27=S$1,COUNTIF(Draft_Import!$D$2:'Draft_Import'!$D27,S$1),"")</f>
        <v/>
      </c>
    </row>
    <row r="28">
      <c r="A28">
        <f>IF(Draft_Import!$D28=A$1,COUNTIF(Draft_Import!$D$2:'Draft_Import'!$D28,A$1),"")</f>
        <v/>
      </c>
      <c r="C28">
        <f>IF(Draft_Import!$D28=C$1,COUNTIF(Draft_Import!$D$2:'Draft_Import'!$D28,C$1),"")</f>
        <v/>
      </c>
      <c r="E28">
        <f>IF(Draft_Import!$D28=E$1,COUNTIF(Draft_Import!$D$2:'Draft_Import'!$D28,E$1),"")</f>
        <v/>
      </c>
      <c r="G28">
        <f>IF(Draft_Import!$D28=G$1,COUNTIF(Draft_Import!$D$2:'Draft_Import'!$D28,G$1),"")</f>
        <v/>
      </c>
      <c r="I28">
        <f>IF(Draft_Import!$D28=I$1,COUNTIF(Draft_Import!$D$2:'Draft_Import'!$D28,I$1),"")</f>
        <v/>
      </c>
      <c r="K28">
        <f>IF(Draft_Import!$D28=K$1,COUNTIF(Draft_Import!$D$2:'Draft_Import'!$D28,K$1),"")</f>
        <v/>
      </c>
      <c r="M28">
        <f>IF(Draft_Import!$D28=M$1,COUNTIF(Draft_Import!$D$2:'Draft_Import'!$D28,M$1),"")</f>
        <v/>
      </c>
      <c r="O28">
        <f>IF(Draft_Import!$D28=O$1,COUNTIF(Draft_Import!$D$2:'Draft_Import'!$D28,O$1),"")</f>
        <v/>
      </c>
      <c r="Q28">
        <f>IF(Draft_Import!$D28=Q$1,COUNTIF(Draft_Import!$D$2:'Draft_Import'!$D28,Q$1),"")</f>
        <v/>
      </c>
      <c r="S28">
        <f>IF(Draft_Import!$D28=S$1,COUNTIF(Draft_Import!$D$2:'Draft_Import'!$D28,S$1),"")</f>
        <v/>
      </c>
    </row>
    <row r="29">
      <c r="A29">
        <f>IF(Draft_Import!$D29=A$1,COUNTIF(Draft_Import!$D$2:'Draft_Import'!$D29,A$1),"")</f>
        <v/>
      </c>
      <c r="C29">
        <f>IF(Draft_Import!$D29=C$1,COUNTIF(Draft_Import!$D$2:'Draft_Import'!$D29,C$1),"")</f>
        <v/>
      </c>
      <c r="E29">
        <f>IF(Draft_Import!$D29=E$1,COUNTIF(Draft_Import!$D$2:'Draft_Import'!$D29,E$1),"")</f>
        <v/>
      </c>
      <c r="G29">
        <f>IF(Draft_Import!$D29=G$1,COUNTIF(Draft_Import!$D$2:'Draft_Import'!$D29,G$1),"")</f>
        <v/>
      </c>
      <c r="I29">
        <f>IF(Draft_Import!$D29=I$1,COUNTIF(Draft_Import!$D$2:'Draft_Import'!$D29,I$1),"")</f>
        <v/>
      </c>
      <c r="K29">
        <f>IF(Draft_Import!$D29=K$1,COUNTIF(Draft_Import!$D$2:'Draft_Import'!$D29,K$1),"")</f>
        <v/>
      </c>
      <c r="M29">
        <f>IF(Draft_Import!$D29=M$1,COUNTIF(Draft_Import!$D$2:'Draft_Import'!$D29,M$1),"")</f>
        <v/>
      </c>
      <c r="O29">
        <f>IF(Draft_Import!$D29=O$1,COUNTIF(Draft_Import!$D$2:'Draft_Import'!$D29,O$1),"")</f>
        <v/>
      </c>
      <c r="Q29">
        <f>IF(Draft_Import!$D29=Q$1,COUNTIF(Draft_Import!$D$2:'Draft_Import'!$D29,Q$1),"")</f>
        <v/>
      </c>
      <c r="S29">
        <f>IF(Draft_Import!$D29=S$1,COUNTIF(Draft_Import!$D$2:'Draft_Import'!$D29,S$1),"")</f>
        <v/>
      </c>
    </row>
    <row r="30">
      <c r="A30">
        <f>IF(Draft_Import!$D30=A$1,COUNTIF(Draft_Import!$D$2:'Draft_Import'!$D30,A$1),"")</f>
        <v/>
      </c>
      <c r="C30">
        <f>IF(Draft_Import!$D30=C$1,COUNTIF(Draft_Import!$D$2:'Draft_Import'!$D30,C$1),"")</f>
        <v/>
      </c>
      <c r="E30">
        <f>IF(Draft_Import!$D30=E$1,COUNTIF(Draft_Import!$D$2:'Draft_Import'!$D30,E$1),"")</f>
        <v/>
      </c>
      <c r="G30">
        <f>IF(Draft_Import!$D30=G$1,COUNTIF(Draft_Import!$D$2:'Draft_Import'!$D30,G$1),"")</f>
        <v/>
      </c>
      <c r="I30">
        <f>IF(Draft_Import!$D30=I$1,COUNTIF(Draft_Import!$D$2:'Draft_Import'!$D30,I$1),"")</f>
        <v/>
      </c>
      <c r="K30">
        <f>IF(Draft_Import!$D30=K$1,COUNTIF(Draft_Import!$D$2:'Draft_Import'!$D30,K$1),"")</f>
        <v/>
      </c>
      <c r="M30">
        <f>IF(Draft_Import!$D30=M$1,COUNTIF(Draft_Import!$D$2:'Draft_Import'!$D30,M$1),"")</f>
        <v/>
      </c>
      <c r="O30">
        <f>IF(Draft_Import!$D30=O$1,COUNTIF(Draft_Import!$D$2:'Draft_Import'!$D30,O$1),"")</f>
        <v/>
      </c>
      <c r="Q30">
        <f>IF(Draft_Import!$D30=Q$1,COUNTIF(Draft_Import!$D$2:'Draft_Import'!$D30,Q$1),"")</f>
        <v/>
      </c>
      <c r="S30">
        <f>IF(Draft_Import!$D30=S$1,COUNTIF(Draft_Import!$D$2:'Draft_Import'!$D30,S$1),"")</f>
        <v/>
      </c>
    </row>
    <row r="31">
      <c r="A31">
        <f>IF(Draft_Import!$D31=A$1,COUNTIF(Draft_Import!$D$2:'Draft_Import'!$D31,A$1),"")</f>
        <v/>
      </c>
      <c r="C31">
        <f>IF(Draft_Import!$D31=C$1,COUNTIF(Draft_Import!$D$2:'Draft_Import'!$D31,C$1),"")</f>
        <v/>
      </c>
      <c r="E31">
        <f>IF(Draft_Import!$D31=E$1,COUNTIF(Draft_Import!$D$2:'Draft_Import'!$D31,E$1),"")</f>
        <v/>
      </c>
      <c r="G31">
        <f>IF(Draft_Import!$D31=G$1,COUNTIF(Draft_Import!$D$2:'Draft_Import'!$D31,G$1),"")</f>
        <v/>
      </c>
      <c r="I31">
        <f>IF(Draft_Import!$D31=I$1,COUNTIF(Draft_Import!$D$2:'Draft_Import'!$D31,I$1),"")</f>
        <v/>
      </c>
      <c r="K31">
        <f>IF(Draft_Import!$D31=K$1,COUNTIF(Draft_Import!$D$2:'Draft_Import'!$D31,K$1),"")</f>
        <v/>
      </c>
      <c r="M31">
        <f>IF(Draft_Import!$D31=M$1,COUNTIF(Draft_Import!$D$2:'Draft_Import'!$D31,M$1),"")</f>
        <v/>
      </c>
      <c r="O31">
        <f>IF(Draft_Import!$D31=O$1,COUNTIF(Draft_Import!$D$2:'Draft_Import'!$D31,O$1),"")</f>
        <v/>
      </c>
      <c r="Q31">
        <f>IF(Draft_Import!$D31=Q$1,COUNTIF(Draft_Import!$D$2:'Draft_Import'!$D31,Q$1),"")</f>
        <v/>
      </c>
      <c r="S31">
        <f>IF(Draft_Import!$D31=S$1,COUNTIF(Draft_Import!$D$2:'Draft_Import'!$D31,S$1),"")</f>
        <v/>
      </c>
    </row>
    <row r="32">
      <c r="A32">
        <f>IF(Draft_Import!$D32=A$1,COUNTIF(Draft_Import!$D$2:'Draft_Import'!$D32,A$1),"")</f>
        <v/>
      </c>
      <c r="C32">
        <f>IF(Draft_Import!$D32=C$1,COUNTIF(Draft_Import!$D$2:'Draft_Import'!$D32,C$1),"")</f>
        <v/>
      </c>
      <c r="E32">
        <f>IF(Draft_Import!$D32=E$1,COUNTIF(Draft_Import!$D$2:'Draft_Import'!$D32,E$1),"")</f>
        <v/>
      </c>
      <c r="G32">
        <f>IF(Draft_Import!$D32=G$1,COUNTIF(Draft_Import!$D$2:'Draft_Import'!$D32,G$1),"")</f>
        <v/>
      </c>
      <c r="I32">
        <f>IF(Draft_Import!$D32=I$1,COUNTIF(Draft_Import!$D$2:'Draft_Import'!$D32,I$1),"")</f>
        <v/>
      </c>
      <c r="K32">
        <f>IF(Draft_Import!$D32=K$1,COUNTIF(Draft_Import!$D$2:'Draft_Import'!$D32,K$1),"")</f>
        <v/>
      </c>
      <c r="M32">
        <f>IF(Draft_Import!$D32=M$1,COUNTIF(Draft_Import!$D$2:'Draft_Import'!$D32,M$1),"")</f>
        <v/>
      </c>
      <c r="O32">
        <f>IF(Draft_Import!$D32=O$1,COUNTIF(Draft_Import!$D$2:'Draft_Import'!$D32,O$1),"")</f>
        <v/>
      </c>
      <c r="Q32">
        <f>IF(Draft_Import!$D32=Q$1,COUNTIF(Draft_Import!$D$2:'Draft_Import'!$D32,Q$1),"")</f>
        <v/>
      </c>
      <c r="S32">
        <f>IF(Draft_Import!$D32=S$1,COUNTIF(Draft_Import!$D$2:'Draft_Import'!$D32,S$1),"")</f>
        <v/>
      </c>
    </row>
    <row r="33">
      <c r="A33">
        <f>IF(Draft_Import!$D33=A$1,COUNTIF(Draft_Import!$D$2:'Draft_Import'!$D33,A$1),"")</f>
        <v/>
      </c>
      <c r="C33">
        <f>IF(Draft_Import!$D33=C$1,COUNTIF(Draft_Import!$D$2:'Draft_Import'!$D33,C$1),"")</f>
        <v/>
      </c>
      <c r="E33">
        <f>IF(Draft_Import!$D33=E$1,COUNTIF(Draft_Import!$D$2:'Draft_Import'!$D33,E$1),"")</f>
        <v/>
      </c>
      <c r="G33">
        <f>IF(Draft_Import!$D33=G$1,COUNTIF(Draft_Import!$D$2:'Draft_Import'!$D33,G$1),"")</f>
        <v/>
      </c>
      <c r="I33">
        <f>IF(Draft_Import!$D33=I$1,COUNTIF(Draft_Import!$D$2:'Draft_Import'!$D33,I$1),"")</f>
        <v/>
      </c>
      <c r="K33">
        <f>IF(Draft_Import!$D33=K$1,COUNTIF(Draft_Import!$D$2:'Draft_Import'!$D33,K$1),"")</f>
        <v/>
      </c>
      <c r="M33">
        <f>IF(Draft_Import!$D33=M$1,COUNTIF(Draft_Import!$D$2:'Draft_Import'!$D33,M$1),"")</f>
        <v/>
      </c>
      <c r="O33">
        <f>IF(Draft_Import!$D33=O$1,COUNTIF(Draft_Import!$D$2:'Draft_Import'!$D33,O$1),"")</f>
        <v/>
      </c>
      <c r="Q33">
        <f>IF(Draft_Import!$D33=Q$1,COUNTIF(Draft_Import!$D$2:'Draft_Import'!$D33,Q$1),"")</f>
        <v/>
      </c>
      <c r="S33">
        <f>IF(Draft_Import!$D33=S$1,COUNTIF(Draft_Import!$D$2:'Draft_Import'!$D33,S$1),"")</f>
        <v/>
      </c>
    </row>
    <row r="34">
      <c r="A34">
        <f>IF(Draft_Import!$D34=A$1,COUNTIF(Draft_Import!$D$2:'Draft_Import'!$D34,A$1),"")</f>
        <v/>
      </c>
      <c r="C34">
        <f>IF(Draft_Import!$D34=C$1,COUNTIF(Draft_Import!$D$2:'Draft_Import'!$D34,C$1),"")</f>
        <v/>
      </c>
      <c r="E34">
        <f>IF(Draft_Import!$D34=E$1,COUNTIF(Draft_Import!$D$2:'Draft_Import'!$D34,E$1),"")</f>
        <v/>
      </c>
      <c r="G34">
        <f>IF(Draft_Import!$D34=G$1,COUNTIF(Draft_Import!$D$2:'Draft_Import'!$D34,G$1),"")</f>
        <v/>
      </c>
      <c r="I34">
        <f>IF(Draft_Import!$D34=I$1,COUNTIF(Draft_Import!$D$2:'Draft_Import'!$D34,I$1),"")</f>
        <v/>
      </c>
      <c r="K34">
        <f>IF(Draft_Import!$D34=K$1,COUNTIF(Draft_Import!$D$2:'Draft_Import'!$D34,K$1),"")</f>
        <v/>
      </c>
      <c r="M34">
        <f>IF(Draft_Import!$D34=M$1,COUNTIF(Draft_Import!$D$2:'Draft_Import'!$D34,M$1),"")</f>
        <v/>
      </c>
      <c r="O34">
        <f>IF(Draft_Import!$D34=O$1,COUNTIF(Draft_Import!$D$2:'Draft_Import'!$D34,O$1),"")</f>
        <v/>
      </c>
      <c r="Q34">
        <f>IF(Draft_Import!$D34=Q$1,COUNTIF(Draft_Import!$D$2:'Draft_Import'!$D34,Q$1),"")</f>
        <v/>
      </c>
      <c r="S34">
        <f>IF(Draft_Import!$D34=S$1,COUNTIF(Draft_Import!$D$2:'Draft_Import'!$D34,S$1),"")</f>
        <v/>
      </c>
    </row>
    <row r="35">
      <c r="A35">
        <f>IF(Draft_Import!$D35=A$1,COUNTIF(Draft_Import!$D$2:'Draft_Import'!$D35,A$1),"")</f>
        <v/>
      </c>
      <c r="C35">
        <f>IF(Draft_Import!$D35=C$1,COUNTIF(Draft_Import!$D$2:'Draft_Import'!$D35,C$1),"")</f>
        <v/>
      </c>
      <c r="E35">
        <f>IF(Draft_Import!$D35=E$1,COUNTIF(Draft_Import!$D$2:'Draft_Import'!$D35,E$1),"")</f>
        <v/>
      </c>
      <c r="G35">
        <f>IF(Draft_Import!$D35=G$1,COUNTIF(Draft_Import!$D$2:'Draft_Import'!$D35,G$1),"")</f>
        <v/>
      </c>
      <c r="I35">
        <f>IF(Draft_Import!$D35=I$1,COUNTIF(Draft_Import!$D$2:'Draft_Import'!$D35,I$1),"")</f>
        <v/>
      </c>
      <c r="K35">
        <f>IF(Draft_Import!$D35=K$1,COUNTIF(Draft_Import!$D$2:'Draft_Import'!$D35,K$1),"")</f>
        <v/>
      </c>
      <c r="M35">
        <f>IF(Draft_Import!$D35=M$1,COUNTIF(Draft_Import!$D$2:'Draft_Import'!$D35,M$1),"")</f>
        <v/>
      </c>
      <c r="O35">
        <f>IF(Draft_Import!$D35=O$1,COUNTIF(Draft_Import!$D$2:'Draft_Import'!$D35,O$1),"")</f>
        <v/>
      </c>
      <c r="Q35">
        <f>IF(Draft_Import!$D35=Q$1,COUNTIF(Draft_Import!$D$2:'Draft_Import'!$D35,Q$1),"")</f>
        <v/>
      </c>
      <c r="S35">
        <f>IF(Draft_Import!$D35=S$1,COUNTIF(Draft_Import!$D$2:'Draft_Import'!$D35,S$1),"")</f>
        <v/>
      </c>
    </row>
    <row r="36">
      <c r="A36">
        <f>IF(Draft_Import!$D36=A$1,COUNTIF(Draft_Import!$D$2:'Draft_Import'!$D36,A$1),"")</f>
        <v/>
      </c>
      <c r="C36">
        <f>IF(Draft_Import!$D36=C$1,COUNTIF(Draft_Import!$D$2:'Draft_Import'!$D36,C$1),"")</f>
        <v/>
      </c>
      <c r="E36">
        <f>IF(Draft_Import!$D36=E$1,COUNTIF(Draft_Import!$D$2:'Draft_Import'!$D36,E$1),"")</f>
        <v/>
      </c>
      <c r="G36">
        <f>IF(Draft_Import!$D36=G$1,COUNTIF(Draft_Import!$D$2:'Draft_Import'!$D36,G$1),"")</f>
        <v/>
      </c>
      <c r="I36">
        <f>IF(Draft_Import!$D36=I$1,COUNTIF(Draft_Import!$D$2:'Draft_Import'!$D36,I$1),"")</f>
        <v/>
      </c>
      <c r="K36">
        <f>IF(Draft_Import!$D36=K$1,COUNTIF(Draft_Import!$D$2:'Draft_Import'!$D36,K$1),"")</f>
        <v/>
      </c>
      <c r="M36">
        <f>IF(Draft_Import!$D36=M$1,COUNTIF(Draft_Import!$D$2:'Draft_Import'!$D36,M$1),"")</f>
        <v/>
      </c>
      <c r="O36">
        <f>IF(Draft_Import!$D36=O$1,COUNTIF(Draft_Import!$D$2:'Draft_Import'!$D36,O$1),"")</f>
        <v/>
      </c>
      <c r="Q36">
        <f>IF(Draft_Import!$D36=Q$1,COUNTIF(Draft_Import!$D$2:'Draft_Import'!$D36,Q$1),"")</f>
        <v/>
      </c>
      <c r="S36">
        <f>IF(Draft_Import!$D36=S$1,COUNTIF(Draft_Import!$D$2:'Draft_Import'!$D36,S$1),"")</f>
        <v/>
      </c>
    </row>
    <row r="37">
      <c r="A37">
        <f>IF(Draft_Import!$D37=A$1,COUNTIF(Draft_Import!$D$2:'Draft_Import'!$D37,A$1),"")</f>
        <v/>
      </c>
      <c r="C37">
        <f>IF(Draft_Import!$D37=C$1,COUNTIF(Draft_Import!$D$2:'Draft_Import'!$D37,C$1),"")</f>
        <v/>
      </c>
      <c r="E37">
        <f>IF(Draft_Import!$D37=E$1,COUNTIF(Draft_Import!$D$2:'Draft_Import'!$D37,E$1),"")</f>
        <v/>
      </c>
      <c r="G37">
        <f>IF(Draft_Import!$D37=G$1,COUNTIF(Draft_Import!$D$2:'Draft_Import'!$D37,G$1),"")</f>
        <v/>
      </c>
      <c r="I37">
        <f>IF(Draft_Import!$D37=I$1,COUNTIF(Draft_Import!$D$2:'Draft_Import'!$D37,I$1),"")</f>
        <v/>
      </c>
      <c r="K37">
        <f>IF(Draft_Import!$D37=K$1,COUNTIF(Draft_Import!$D$2:'Draft_Import'!$D37,K$1),"")</f>
        <v/>
      </c>
      <c r="M37">
        <f>IF(Draft_Import!$D37=M$1,COUNTIF(Draft_Import!$D$2:'Draft_Import'!$D37,M$1),"")</f>
        <v/>
      </c>
      <c r="O37">
        <f>IF(Draft_Import!$D37=O$1,COUNTIF(Draft_Import!$D$2:'Draft_Import'!$D37,O$1),"")</f>
        <v/>
      </c>
      <c r="Q37">
        <f>IF(Draft_Import!$D37=Q$1,COUNTIF(Draft_Import!$D$2:'Draft_Import'!$D37,Q$1),"")</f>
        <v/>
      </c>
      <c r="S37">
        <f>IF(Draft_Import!$D37=S$1,COUNTIF(Draft_Import!$D$2:'Draft_Import'!$D37,S$1),"")</f>
        <v/>
      </c>
    </row>
    <row r="38">
      <c r="A38">
        <f>IF(Draft_Import!$D38=A$1,COUNTIF(Draft_Import!$D$2:'Draft_Import'!$D38,A$1),"")</f>
        <v/>
      </c>
      <c r="C38">
        <f>IF(Draft_Import!$D38=C$1,COUNTIF(Draft_Import!$D$2:'Draft_Import'!$D38,C$1),"")</f>
        <v/>
      </c>
      <c r="E38">
        <f>IF(Draft_Import!$D38=E$1,COUNTIF(Draft_Import!$D$2:'Draft_Import'!$D38,E$1),"")</f>
        <v/>
      </c>
      <c r="G38">
        <f>IF(Draft_Import!$D38=G$1,COUNTIF(Draft_Import!$D$2:'Draft_Import'!$D38,G$1),"")</f>
        <v/>
      </c>
      <c r="I38">
        <f>IF(Draft_Import!$D38=I$1,COUNTIF(Draft_Import!$D$2:'Draft_Import'!$D38,I$1),"")</f>
        <v/>
      </c>
      <c r="K38">
        <f>IF(Draft_Import!$D38=K$1,COUNTIF(Draft_Import!$D$2:'Draft_Import'!$D38,K$1),"")</f>
        <v/>
      </c>
      <c r="M38">
        <f>IF(Draft_Import!$D38=M$1,COUNTIF(Draft_Import!$D$2:'Draft_Import'!$D38,M$1),"")</f>
        <v/>
      </c>
      <c r="O38">
        <f>IF(Draft_Import!$D38=O$1,COUNTIF(Draft_Import!$D$2:'Draft_Import'!$D38,O$1),"")</f>
        <v/>
      </c>
      <c r="Q38">
        <f>IF(Draft_Import!$D38=Q$1,COUNTIF(Draft_Import!$D$2:'Draft_Import'!$D38,Q$1),"")</f>
        <v/>
      </c>
      <c r="S38">
        <f>IF(Draft_Import!$D38=S$1,COUNTIF(Draft_Import!$D$2:'Draft_Import'!$D38,S$1),"")</f>
        <v/>
      </c>
    </row>
    <row r="39">
      <c r="A39">
        <f>IF(Draft_Import!$D39=A$1,COUNTIF(Draft_Import!$D$2:'Draft_Import'!$D39,A$1),"")</f>
        <v/>
      </c>
      <c r="C39">
        <f>IF(Draft_Import!$D39=C$1,COUNTIF(Draft_Import!$D$2:'Draft_Import'!$D39,C$1),"")</f>
        <v/>
      </c>
      <c r="E39">
        <f>IF(Draft_Import!$D39=E$1,COUNTIF(Draft_Import!$D$2:'Draft_Import'!$D39,E$1),"")</f>
        <v/>
      </c>
      <c r="G39">
        <f>IF(Draft_Import!$D39=G$1,COUNTIF(Draft_Import!$D$2:'Draft_Import'!$D39,G$1),"")</f>
        <v/>
      </c>
      <c r="I39">
        <f>IF(Draft_Import!$D39=I$1,COUNTIF(Draft_Import!$D$2:'Draft_Import'!$D39,I$1),"")</f>
        <v/>
      </c>
      <c r="K39">
        <f>IF(Draft_Import!$D39=K$1,COUNTIF(Draft_Import!$D$2:'Draft_Import'!$D39,K$1),"")</f>
        <v/>
      </c>
      <c r="M39">
        <f>IF(Draft_Import!$D39=M$1,COUNTIF(Draft_Import!$D$2:'Draft_Import'!$D39,M$1),"")</f>
        <v/>
      </c>
      <c r="O39">
        <f>IF(Draft_Import!$D39=O$1,COUNTIF(Draft_Import!$D$2:'Draft_Import'!$D39,O$1),"")</f>
        <v/>
      </c>
      <c r="Q39">
        <f>IF(Draft_Import!$D39=Q$1,COUNTIF(Draft_Import!$D$2:'Draft_Import'!$D39,Q$1),"")</f>
        <v/>
      </c>
      <c r="S39">
        <f>IF(Draft_Import!$D39=S$1,COUNTIF(Draft_Import!$D$2:'Draft_Import'!$D39,S$1),"")</f>
        <v/>
      </c>
    </row>
    <row r="40">
      <c r="A40">
        <f>IF(Draft_Import!$D40=A$1,COUNTIF(Draft_Import!$D$2:'Draft_Import'!$D40,A$1),"")</f>
        <v/>
      </c>
      <c r="C40">
        <f>IF(Draft_Import!$D40=C$1,COUNTIF(Draft_Import!$D$2:'Draft_Import'!$D40,C$1),"")</f>
        <v/>
      </c>
      <c r="E40">
        <f>IF(Draft_Import!$D40=E$1,COUNTIF(Draft_Import!$D$2:'Draft_Import'!$D40,E$1),"")</f>
        <v/>
      </c>
      <c r="G40">
        <f>IF(Draft_Import!$D40=G$1,COUNTIF(Draft_Import!$D$2:'Draft_Import'!$D40,G$1),"")</f>
        <v/>
      </c>
      <c r="I40">
        <f>IF(Draft_Import!$D40=I$1,COUNTIF(Draft_Import!$D$2:'Draft_Import'!$D40,I$1),"")</f>
        <v/>
      </c>
      <c r="K40">
        <f>IF(Draft_Import!$D40=K$1,COUNTIF(Draft_Import!$D$2:'Draft_Import'!$D40,K$1),"")</f>
        <v/>
      </c>
      <c r="M40">
        <f>IF(Draft_Import!$D40=M$1,COUNTIF(Draft_Import!$D$2:'Draft_Import'!$D40,M$1),"")</f>
        <v/>
      </c>
      <c r="O40">
        <f>IF(Draft_Import!$D40=O$1,COUNTIF(Draft_Import!$D$2:'Draft_Import'!$D40,O$1),"")</f>
        <v/>
      </c>
      <c r="Q40">
        <f>IF(Draft_Import!$D40=Q$1,COUNTIF(Draft_Import!$D$2:'Draft_Import'!$D40,Q$1),"")</f>
        <v/>
      </c>
      <c r="S40">
        <f>IF(Draft_Import!$D40=S$1,COUNTIF(Draft_Import!$D$2:'Draft_Import'!$D40,S$1),"")</f>
        <v/>
      </c>
    </row>
    <row r="41">
      <c r="A41">
        <f>IF(Draft_Import!$D41=A$1,COUNTIF(Draft_Import!$D$2:'Draft_Import'!$D41,A$1),"")</f>
        <v/>
      </c>
      <c r="C41">
        <f>IF(Draft_Import!$D41=C$1,COUNTIF(Draft_Import!$D$2:'Draft_Import'!$D41,C$1),"")</f>
        <v/>
      </c>
      <c r="E41">
        <f>IF(Draft_Import!$D41=E$1,COUNTIF(Draft_Import!$D$2:'Draft_Import'!$D41,E$1),"")</f>
        <v/>
      </c>
      <c r="G41">
        <f>IF(Draft_Import!$D41=G$1,COUNTIF(Draft_Import!$D$2:'Draft_Import'!$D41,G$1),"")</f>
        <v/>
      </c>
      <c r="I41">
        <f>IF(Draft_Import!$D41=I$1,COUNTIF(Draft_Import!$D$2:'Draft_Import'!$D41,I$1),"")</f>
        <v/>
      </c>
      <c r="K41">
        <f>IF(Draft_Import!$D41=K$1,COUNTIF(Draft_Import!$D$2:'Draft_Import'!$D41,K$1),"")</f>
        <v/>
      </c>
      <c r="M41">
        <f>IF(Draft_Import!$D41=M$1,COUNTIF(Draft_Import!$D$2:'Draft_Import'!$D41,M$1),"")</f>
        <v/>
      </c>
      <c r="O41">
        <f>IF(Draft_Import!$D41=O$1,COUNTIF(Draft_Import!$D$2:'Draft_Import'!$D41,O$1),"")</f>
        <v/>
      </c>
      <c r="Q41">
        <f>IF(Draft_Import!$D41=Q$1,COUNTIF(Draft_Import!$D$2:'Draft_Import'!$D41,Q$1),"")</f>
        <v/>
      </c>
      <c r="S41">
        <f>IF(Draft_Import!$D41=S$1,COUNTIF(Draft_Import!$D$2:'Draft_Import'!$D41,S$1),"")</f>
        <v/>
      </c>
    </row>
    <row r="42">
      <c r="A42">
        <f>IF(Draft_Import!$D42=A$1,COUNTIF(Draft_Import!$D$2:'Draft_Import'!$D42,A$1),"")</f>
        <v/>
      </c>
      <c r="C42">
        <f>IF(Draft_Import!$D42=C$1,COUNTIF(Draft_Import!$D$2:'Draft_Import'!$D42,C$1),"")</f>
        <v/>
      </c>
      <c r="E42">
        <f>IF(Draft_Import!$D42=E$1,COUNTIF(Draft_Import!$D$2:'Draft_Import'!$D42,E$1),"")</f>
        <v/>
      </c>
      <c r="G42">
        <f>IF(Draft_Import!$D42=G$1,COUNTIF(Draft_Import!$D$2:'Draft_Import'!$D42,G$1),"")</f>
        <v/>
      </c>
      <c r="I42">
        <f>IF(Draft_Import!$D42=I$1,COUNTIF(Draft_Import!$D$2:'Draft_Import'!$D42,I$1),"")</f>
        <v/>
      </c>
      <c r="K42">
        <f>IF(Draft_Import!$D42=K$1,COUNTIF(Draft_Import!$D$2:'Draft_Import'!$D42,K$1),"")</f>
        <v/>
      </c>
      <c r="M42">
        <f>IF(Draft_Import!$D42=M$1,COUNTIF(Draft_Import!$D$2:'Draft_Import'!$D42,M$1),"")</f>
        <v/>
      </c>
      <c r="O42">
        <f>IF(Draft_Import!$D42=O$1,COUNTIF(Draft_Import!$D$2:'Draft_Import'!$D42,O$1),"")</f>
        <v/>
      </c>
      <c r="Q42">
        <f>IF(Draft_Import!$D42=Q$1,COUNTIF(Draft_Import!$D$2:'Draft_Import'!$D42,Q$1),"")</f>
        <v/>
      </c>
      <c r="S42">
        <f>IF(Draft_Import!$D42=S$1,COUNTIF(Draft_Import!$D$2:'Draft_Import'!$D42,S$1),"")</f>
        <v/>
      </c>
    </row>
    <row r="43">
      <c r="A43">
        <f>IF(Draft_Import!$D43=A$1,COUNTIF(Draft_Import!$D$2:'Draft_Import'!$D43,A$1),"")</f>
        <v/>
      </c>
      <c r="C43">
        <f>IF(Draft_Import!$D43=C$1,COUNTIF(Draft_Import!$D$2:'Draft_Import'!$D43,C$1),"")</f>
        <v/>
      </c>
      <c r="E43">
        <f>IF(Draft_Import!$D43=E$1,COUNTIF(Draft_Import!$D$2:'Draft_Import'!$D43,E$1),"")</f>
        <v/>
      </c>
      <c r="G43">
        <f>IF(Draft_Import!$D43=G$1,COUNTIF(Draft_Import!$D$2:'Draft_Import'!$D43,G$1),"")</f>
        <v/>
      </c>
      <c r="I43">
        <f>IF(Draft_Import!$D43=I$1,COUNTIF(Draft_Import!$D$2:'Draft_Import'!$D43,I$1),"")</f>
        <v/>
      </c>
      <c r="K43">
        <f>IF(Draft_Import!$D43=K$1,COUNTIF(Draft_Import!$D$2:'Draft_Import'!$D43,K$1),"")</f>
        <v/>
      </c>
      <c r="M43">
        <f>IF(Draft_Import!$D43=M$1,COUNTIF(Draft_Import!$D$2:'Draft_Import'!$D43,M$1),"")</f>
        <v/>
      </c>
      <c r="O43">
        <f>IF(Draft_Import!$D43=O$1,COUNTIF(Draft_Import!$D$2:'Draft_Import'!$D43,O$1),"")</f>
        <v/>
      </c>
      <c r="Q43">
        <f>IF(Draft_Import!$D43=Q$1,COUNTIF(Draft_Import!$D$2:'Draft_Import'!$D43,Q$1),"")</f>
        <v/>
      </c>
      <c r="S43">
        <f>IF(Draft_Import!$D43=S$1,COUNTIF(Draft_Import!$D$2:'Draft_Import'!$D43,S$1),"")</f>
        <v/>
      </c>
    </row>
    <row r="44">
      <c r="A44">
        <f>IF(Draft_Import!$D44=A$1,COUNTIF(Draft_Import!$D$2:'Draft_Import'!$D44,A$1),"")</f>
        <v/>
      </c>
      <c r="C44">
        <f>IF(Draft_Import!$D44=C$1,COUNTIF(Draft_Import!$D$2:'Draft_Import'!$D44,C$1),"")</f>
        <v/>
      </c>
      <c r="E44">
        <f>IF(Draft_Import!$D44=E$1,COUNTIF(Draft_Import!$D$2:'Draft_Import'!$D44,E$1),"")</f>
        <v/>
      </c>
      <c r="G44">
        <f>IF(Draft_Import!$D44=G$1,COUNTIF(Draft_Import!$D$2:'Draft_Import'!$D44,G$1),"")</f>
        <v/>
      </c>
      <c r="I44">
        <f>IF(Draft_Import!$D44=I$1,COUNTIF(Draft_Import!$D$2:'Draft_Import'!$D44,I$1),"")</f>
        <v/>
      </c>
      <c r="K44">
        <f>IF(Draft_Import!$D44=K$1,COUNTIF(Draft_Import!$D$2:'Draft_Import'!$D44,K$1),"")</f>
        <v/>
      </c>
      <c r="M44">
        <f>IF(Draft_Import!$D44=M$1,COUNTIF(Draft_Import!$D$2:'Draft_Import'!$D44,M$1),"")</f>
        <v/>
      </c>
      <c r="O44">
        <f>IF(Draft_Import!$D44=O$1,COUNTIF(Draft_Import!$D$2:'Draft_Import'!$D44,O$1),"")</f>
        <v/>
      </c>
      <c r="Q44">
        <f>IF(Draft_Import!$D44=Q$1,COUNTIF(Draft_Import!$D$2:'Draft_Import'!$D44,Q$1),"")</f>
        <v/>
      </c>
      <c r="S44">
        <f>IF(Draft_Import!$D44=S$1,COUNTIF(Draft_Import!$D$2:'Draft_Import'!$D44,S$1),"")</f>
        <v/>
      </c>
    </row>
    <row r="45">
      <c r="A45">
        <f>IF(Draft_Import!$D45=A$1,COUNTIF(Draft_Import!$D$2:'Draft_Import'!$D45,A$1),"")</f>
        <v/>
      </c>
      <c r="C45">
        <f>IF(Draft_Import!$D45=C$1,COUNTIF(Draft_Import!$D$2:'Draft_Import'!$D45,C$1),"")</f>
        <v/>
      </c>
      <c r="E45">
        <f>IF(Draft_Import!$D45=E$1,COUNTIF(Draft_Import!$D$2:'Draft_Import'!$D45,E$1),"")</f>
        <v/>
      </c>
      <c r="G45">
        <f>IF(Draft_Import!$D45=G$1,COUNTIF(Draft_Import!$D$2:'Draft_Import'!$D45,G$1),"")</f>
        <v/>
      </c>
      <c r="I45">
        <f>IF(Draft_Import!$D45=I$1,COUNTIF(Draft_Import!$D$2:'Draft_Import'!$D45,I$1),"")</f>
        <v/>
      </c>
      <c r="K45">
        <f>IF(Draft_Import!$D45=K$1,COUNTIF(Draft_Import!$D$2:'Draft_Import'!$D45,K$1),"")</f>
        <v/>
      </c>
      <c r="M45">
        <f>IF(Draft_Import!$D45=M$1,COUNTIF(Draft_Import!$D$2:'Draft_Import'!$D45,M$1),"")</f>
        <v/>
      </c>
      <c r="O45">
        <f>IF(Draft_Import!$D45=O$1,COUNTIF(Draft_Import!$D$2:'Draft_Import'!$D45,O$1),"")</f>
        <v/>
      </c>
      <c r="Q45">
        <f>IF(Draft_Import!$D45=Q$1,COUNTIF(Draft_Import!$D$2:'Draft_Import'!$D45,Q$1),"")</f>
        <v/>
      </c>
      <c r="S45">
        <f>IF(Draft_Import!$D45=S$1,COUNTIF(Draft_Import!$D$2:'Draft_Import'!$D45,S$1),"")</f>
        <v/>
      </c>
    </row>
    <row r="46">
      <c r="A46">
        <f>IF(Draft_Import!$D46=A$1,COUNTIF(Draft_Import!$D$2:'Draft_Import'!$D46,A$1),"")</f>
        <v/>
      </c>
      <c r="C46">
        <f>IF(Draft_Import!$D46=C$1,COUNTIF(Draft_Import!$D$2:'Draft_Import'!$D46,C$1),"")</f>
        <v/>
      </c>
      <c r="E46">
        <f>IF(Draft_Import!$D46=E$1,COUNTIF(Draft_Import!$D$2:'Draft_Import'!$D46,E$1),"")</f>
        <v/>
      </c>
      <c r="G46">
        <f>IF(Draft_Import!$D46=G$1,COUNTIF(Draft_Import!$D$2:'Draft_Import'!$D46,G$1),"")</f>
        <v/>
      </c>
      <c r="I46">
        <f>IF(Draft_Import!$D46=I$1,COUNTIF(Draft_Import!$D$2:'Draft_Import'!$D46,I$1),"")</f>
        <v/>
      </c>
      <c r="K46">
        <f>IF(Draft_Import!$D46=K$1,COUNTIF(Draft_Import!$D$2:'Draft_Import'!$D46,K$1),"")</f>
        <v/>
      </c>
      <c r="M46">
        <f>IF(Draft_Import!$D46=M$1,COUNTIF(Draft_Import!$D$2:'Draft_Import'!$D46,M$1),"")</f>
        <v/>
      </c>
      <c r="O46">
        <f>IF(Draft_Import!$D46=O$1,COUNTIF(Draft_Import!$D$2:'Draft_Import'!$D46,O$1),"")</f>
        <v/>
      </c>
      <c r="Q46">
        <f>IF(Draft_Import!$D46=Q$1,COUNTIF(Draft_Import!$D$2:'Draft_Import'!$D46,Q$1),"")</f>
        <v/>
      </c>
      <c r="S46">
        <f>IF(Draft_Import!$D46=S$1,COUNTIF(Draft_Import!$D$2:'Draft_Import'!$D46,S$1),"")</f>
        <v/>
      </c>
    </row>
    <row r="47">
      <c r="A47">
        <f>IF(Draft_Import!$D47=A$1,COUNTIF(Draft_Import!$D$2:'Draft_Import'!$D47,A$1),"")</f>
        <v/>
      </c>
      <c r="C47">
        <f>IF(Draft_Import!$D47=C$1,COUNTIF(Draft_Import!$D$2:'Draft_Import'!$D47,C$1),"")</f>
        <v/>
      </c>
      <c r="E47">
        <f>IF(Draft_Import!$D47=E$1,COUNTIF(Draft_Import!$D$2:'Draft_Import'!$D47,E$1),"")</f>
        <v/>
      </c>
      <c r="G47">
        <f>IF(Draft_Import!$D47=G$1,COUNTIF(Draft_Import!$D$2:'Draft_Import'!$D47,G$1),"")</f>
        <v/>
      </c>
      <c r="I47">
        <f>IF(Draft_Import!$D47=I$1,COUNTIF(Draft_Import!$D$2:'Draft_Import'!$D47,I$1),"")</f>
        <v/>
      </c>
      <c r="K47">
        <f>IF(Draft_Import!$D47=K$1,COUNTIF(Draft_Import!$D$2:'Draft_Import'!$D47,K$1),"")</f>
        <v/>
      </c>
      <c r="M47">
        <f>IF(Draft_Import!$D47=M$1,COUNTIF(Draft_Import!$D$2:'Draft_Import'!$D47,M$1),"")</f>
        <v/>
      </c>
      <c r="O47">
        <f>IF(Draft_Import!$D47=O$1,COUNTIF(Draft_Import!$D$2:'Draft_Import'!$D47,O$1),"")</f>
        <v/>
      </c>
      <c r="Q47">
        <f>IF(Draft_Import!$D47=Q$1,COUNTIF(Draft_Import!$D$2:'Draft_Import'!$D47,Q$1),"")</f>
        <v/>
      </c>
      <c r="S47">
        <f>IF(Draft_Import!$D47=S$1,COUNTIF(Draft_Import!$D$2:'Draft_Import'!$D47,S$1),"")</f>
        <v/>
      </c>
    </row>
    <row r="48">
      <c r="A48">
        <f>IF(Draft_Import!$D48=A$1,COUNTIF(Draft_Import!$D$2:'Draft_Import'!$D48,A$1),"")</f>
        <v/>
      </c>
      <c r="C48">
        <f>IF(Draft_Import!$D48=C$1,COUNTIF(Draft_Import!$D$2:'Draft_Import'!$D48,C$1),"")</f>
        <v/>
      </c>
      <c r="E48">
        <f>IF(Draft_Import!$D48=E$1,COUNTIF(Draft_Import!$D$2:'Draft_Import'!$D48,E$1),"")</f>
        <v/>
      </c>
      <c r="G48">
        <f>IF(Draft_Import!$D48=G$1,COUNTIF(Draft_Import!$D$2:'Draft_Import'!$D48,G$1),"")</f>
        <v/>
      </c>
      <c r="I48">
        <f>IF(Draft_Import!$D48=I$1,COUNTIF(Draft_Import!$D$2:'Draft_Import'!$D48,I$1),"")</f>
        <v/>
      </c>
      <c r="K48">
        <f>IF(Draft_Import!$D48=K$1,COUNTIF(Draft_Import!$D$2:'Draft_Import'!$D48,K$1),"")</f>
        <v/>
      </c>
      <c r="M48">
        <f>IF(Draft_Import!$D48=M$1,COUNTIF(Draft_Import!$D$2:'Draft_Import'!$D48,M$1),"")</f>
        <v/>
      </c>
      <c r="O48">
        <f>IF(Draft_Import!$D48=O$1,COUNTIF(Draft_Import!$D$2:'Draft_Import'!$D48,O$1),"")</f>
        <v/>
      </c>
      <c r="Q48">
        <f>IF(Draft_Import!$D48=Q$1,COUNTIF(Draft_Import!$D$2:'Draft_Import'!$D48,Q$1),"")</f>
        <v/>
      </c>
      <c r="S48">
        <f>IF(Draft_Import!$D48=S$1,COUNTIF(Draft_Import!$D$2:'Draft_Import'!$D48,S$1),"")</f>
        <v/>
      </c>
    </row>
    <row r="49">
      <c r="A49">
        <f>IF(Draft_Import!$D49=A$1,COUNTIF(Draft_Import!$D$2:'Draft_Import'!$D49,A$1),"")</f>
        <v/>
      </c>
      <c r="C49">
        <f>IF(Draft_Import!$D49=C$1,COUNTIF(Draft_Import!$D$2:'Draft_Import'!$D49,C$1),"")</f>
        <v/>
      </c>
      <c r="E49">
        <f>IF(Draft_Import!$D49=E$1,COUNTIF(Draft_Import!$D$2:'Draft_Import'!$D49,E$1),"")</f>
        <v/>
      </c>
      <c r="G49">
        <f>IF(Draft_Import!$D49=G$1,COUNTIF(Draft_Import!$D$2:'Draft_Import'!$D49,G$1),"")</f>
        <v/>
      </c>
      <c r="I49">
        <f>IF(Draft_Import!$D49=I$1,COUNTIF(Draft_Import!$D$2:'Draft_Import'!$D49,I$1),"")</f>
        <v/>
      </c>
      <c r="K49">
        <f>IF(Draft_Import!$D49=K$1,COUNTIF(Draft_Import!$D$2:'Draft_Import'!$D49,K$1),"")</f>
        <v/>
      </c>
      <c r="M49">
        <f>IF(Draft_Import!$D49=M$1,COUNTIF(Draft_Import!$D$2:'Draft_Import'!$D49,M$1),"")</f>
        <v/>
      </c>
      <c r="O49">
        <f>IF(Draft_Import!$D49=O$1,COUNTIF(Draft_Import!$D$2:'Draft_Import'!$D49,O$1),"")</f>
        <v/>
      </c>
      <c r="Q49">
        <f>IF(Draft_Import!$D49=Q$1,COUNTIF(Draft_Import!$D$2:'Draft_Import'!$D49,Q$1),"")</f>
        <v/>
      </c>
      <c r="S49">
        <f>IF(Draft_Import!$D49=S$1,COUNTIF(Draft_Import!$D$2:'Draft_Import'!$D49,S$1),"")</f>
        <v/>
      </c>
    </row>
    <row r="50">
      <c r="A50">
        <f>IF(Draft_Import!$D50=A$1,COUNTIF(Draft_Import!$D$2:'Draft_Import'!$D50,A$1),"")</f>
        <v/>
      </c>
      <c r="C50">
        <f>IF(Draft_Import!$D50=C$1,COUNTIF(Draft_Import!$D$2:'Draft_Import'!$D50,C$1),"")</f>
        <v/>
      </c>
      <c r="E50">
        <f>IF(Draft_Import!$D50=E$1,COUNTIF(Draft_Import!$D$2:'Draft_Import'!$D50,E$1),"")</f>
        <v/>
      </c>
      <c r="G50">
        <f>IF(Draft_Import!$D50=G$1,COUNTIF(Draft_Import!$D$2:'Draft_Import'!$D50,G$1),"")</f>
        <v/>
      </c>
      <c r="I50">
        <f>IF(Draft_Import!$D50=I$1,COUNTIF(Draft_Import!$D$2:'Draft_Import'!$D50,I$1),"")</f>
        <v/>
      </c>
      <c r="K50">
        <f>IF(Draft_Import!$D50=K$1,COUNTIF(Draft_Import!$D$2:'Draft_Import'!$D50,K$1),"")</f>
        <v/>
      </c>
      <c r="M50">
        <f>IF(Draft_Import!$D50=M$1,COUNTIF(Draft_Import!$D$2:'Draft_Import'!$D50,M$1),"")</f>
        <v/>
      </c>
      <c r="O50">
        <f>IF(Draft_Import!$D50=O$1,COUNTIF(Draft_Import!$D$2:'Draft_Import'!$D50,O$1),"")</f>
        <v/>
      </c>
      <c r="Q50">
        <f>IF(Draft_Import!$D50=Q$1,COUNTIF(Draft_Import!$D$2:'Draft_Import'!$D50,Q$1),"")</f>
        <v/>
      </c>
      <c r="S50">
        <f>IF(Draft_Import!$D50=S$1,COUNTIF(Draft_Import!$D$2:'Draft_Import'!$D50,S$1),"")</f>
        <v/>
      </c>
    </row>
    <row r="51">
      <c r="A51">
        <f>IF(Draft_Import!$D51=A$1,COUNTIF(Draft_Import!$D$2:'Draft_Import'!$D51,A$1),"")</f>
        <v/>
      </c>
      <c r="C51">
        <f>IF(Draft_Import!$D51=C$1,COUNTIF(Draft_Import!$D$2:'Draft_Import'!$D51,C$1),"")</f>
        <v/>
      </c>
      <c r="E51">
        <f>IF(Draft_Import!$D51=E$1,COUNTIF(Draft_Import!$D$2:'Draft_Import'!$D51,E$1),"")</f>
        <v/>
      </c>
      <c r="G51">
        <f>IF(Draft_Import!$D51=G$1,COUNTIF(Draft_Import!$D$2:'Draft_Import'!$D51,G$1),"")</f>
        <v/>
      </c>
      <c r="I51">
        <f>IF(Draft_Import!$D51=I$1,COUNTIF(Draft_Import!$D$2:'Draft_Import'!$D51,I$1),"")</f>
        <v/>
      </c>
      <c r="K51">
        <f>IF(Draft_Import!$D51=K$1,COUNTIF(Draft_Import!$D$2:'Draft_Import'!$D51,K$1),"")</f>
        <v/>
      </c>
      <c r="M51">
        <f>IF(Draft_Import!$D51=M$1,COUNTIF(Draft_Import!$D$2:'Draft_Import'!$D51,M$1),"")</f>
        <v/>
      </c>
      <c r="O51">
        <f>IF(Draft_Import!$D51=O$1,COUNTIF(Draft_Import!$D$2:'Draft_Import'!$D51,O$1),"")</f>
        <v/>
      </c>
      <c r="Q51">
        <f>IF(Draft_Import!$D51=Q$1,COUNTIF(Draft_Import!$D$2:'Draft_Import'!$D51,Q$1),"")</f>
        <v/>
      </c>
      <c r="S51">
        <f>IF(Draft_Import!$D51=S$1,COUNTIF(Draft_Import!$D$2:'Draft_Import'!$D51,S$1),"")</f>
        <v/>
      </c>
    </row>
    <row r="52">
      <c r="A52">
        <f>IF(Draft_Import!$D52=A$1,COUNTIF(Draft_Import!$D$2:'Draft_Import'!$D52,A$1),"")</f>
        <v/>
      </c>
      <c r="C52">
        <f>IF(Draft_Import!$D52=C$1,COUNTIF(Draft_Import!$D$2:'Draft_Import'!$D52,C$1),"")</f>
        <v/>
      </c>
      <c r="E52">
        <f>IF(Draft_Import!$D52=E$1,COUNTIF(Draft_Import!$D$2:'Draft_Import'!$D52,E$1),"")</f>
        <v/>
      </c>
      <c r="G52">
        <f>IF(Draft_Import!$D52=G$1,COUNTIF(Draft_Import!$D$2:'Draft_Import'!$D52,G$1),"")</f>
        <v/>
      </c>
      <c r="I52">
        <f>IF(Draft_Import!$D52=I$1,COUNTIF(Draft_Import!$D$2:'Draft_Import'!$D52,I$1),"")</f>
        <v/>
      </c>
      <c r="K52">
        <f>IF(Draft_Import!$D52=K$1,COUNTIF(Draft_Import!$D$2:'Draft_Import'!$D52,K$1),"")</f>
        <v/>
      </c>
      <c r="M52">
        <f>IF(Draft_Import!$D52=M$1,COUNTIF(Draft_Import!$D$2:'Draft_Import'!$D52,M$1),"")</f>
        <v/>
      </c>
      <c r="O52">
        <f>IF(Draft_Import!$D52=O$1,COUNTIF(Draft_Import!$D$2:'Draft_Import'!$D52,O$1),"")</f>
        <v/>
      </c>
      <c r="Q52">
        <f>IF(Draft_Import!$D52=Q$1,COUNTIF(Draft_Import!$D$2:'Draft_Import'!$D52,Q$1),"")</f>
        <v/>
      </c>
      <c r="S52">
        <f>IF(Draft_Import!$D52=S$1,COUNTIF(Draft_Import!$D$2:'Draft_Import'!$D52,S$1),"")</f>
        <v/>
      </c>
    </row>
    <row r="53">
      <c r="A53">
        <f>IF(Draft_Import!$D53=A$1,COUNTIF(Draft_Import!$D$2:'Draft_Import'!$D53,A$1),"")</f>
        <v/>
      </c>
      <c r="C53">
        <f>IF(Draft_Import!$D53=C$1,COUNTIF(Draft_Import!$D$2:'Draft_Import'!$D53,C$1),"")</f>
        <v/>
      </c>
      <c r="E53">
        <f>IF(Draft_Import!$D53=E$1,COUNTIF(Draft_Import!$D$2:'Draft_Import'!$D53,E$1),"")</f>
        <v/>
      </c>
      <c r="G53">
        <f>IF(Draft_Import!$D53=G$1,COUNTIF(Draft_Import!$D$2:'Draft_Import'!$D53,G$1),"")</f>
        <v/>
      </c>
      <c r="I53">
        <f>IF(Draft_Import!$D53=I$1,COUNTIF(Draft_Import!$D$2:'Draft_Import'!$D53,I$1),"")</f>
        <v/>
      </c>
      <c r="K53">
        <f>IF(Draft_Import!$D53=K$1,COUNTIF(Draft_Import!$D$2:'Draft_Import'!$D53,K$1),"")</f>
        <v/>
      </c>
      <c r="M53">
        <f>IF(Draft_Import!$D53=M$1,COUNTIF(Draft_Import!$D$2:'Draft_Import'!$D53,M$1),"")</f>
        <v/>
      </c>
      <c r="O53">
        <f>IF(Draft_Import!$D53=O$1,COUNTIF(Draft_Import!$D$2:'Draft_Import'!$D53,O$1),"")</f>
        <v/>
      </c>
      <c r="Q53">
        <f>IF(Draft_Import!$D53=Q$1,COUNTIF(Draft_Import!$D$2:'Draft_Import'!$D53,Q$1),"")</f>
        <v/>
      </c>
      <c r="S53">
        <f>IF(Draft_Import!$D53=S$1,COUNTIF(Draft_Import!$D$2:'Draft_Import'!$D53,S$1),"")</f>
        <v/>
      </c>
    </row>
    <row r="54">
      <c r="A54">
        <f>IF(Draft_Import!$D54=A$1,COUNTIF(Draft_Import!$D$2:'Draft_Import'!$D54,A$1),"")</f>
        <v/>
      </c>
      <c r="C54">
        <f>IF(Draft_Import!$D54=C$1,COUNTIF(Draft_Import!$D$2:'Draft_Import'!$D54,C$1),"")</f>
        <v/>
      </c>
      <c r="E54">
        <f>IF(Draft_Import!$D54=E$1,COUNTIF(Draft_Import!$D$2:'Draft_Import'!$D54,E$1),"")</f>
        <v/>
      </c>
      <c r="G54">
        <f>IF(Draft_Import!$D54=G$1,COUNTIF(Draft_Import!$D$2:'Draft_Import'!$D54,G$1),"")</f>
        <v/>
      </c>
      <c r="I54">
        <f>IF(Draft_Import!$D54=I$1,COUNTIF(Draft_Import!$D$2:'Draft_Import'!$D54,I$1),"")</f>
        <v/>
      </c>
      <c r="K54">
        <f>IF(Draft_Import!$D54=K$1,COUNTIF(Draft_Import!$D$2:'Draft_Import'!$D54,K$1),"")</f>
        <v/>
      </c>
      <c r="M54">
        <f>IF(Draft_Import!$D54=M$1,COUNTIF(Draft_Import!$D$2:'Draft_Import'!$D54,M$1),"")</f>
        <v/>
      </c>
      <c r="O54">
        <f>IF(Draft_Import!$D54=O$1,COUNTIF(Draft_Import!$D$2:'Draft_Import'!$D54,O$1),"")</f>
        <v/>
      </c>
      <c r="Q54">
        <f>IF(Draft_Import!$D54=Q$1,COUNTIF(Draft_Import!$D$2:'Draft_Import'!$D54,Q$1),"")</f>
        <v/>
      </c>
      <c r="S54">
        <f>IF(Draft_Import!$D54=S$1,COUNTIF(Draft_Import!$D$2:'Draft_Import'!$D54,S$1),"")</f>
        <v/>
      </c>
    </row>
    <row r="55">
      <c r="A55">
        <f>IF(Draft_Import!$D55=A$1,COUNTIF(Draft_Import!$D$2:'Draft_Import'!$D55,A$1),"")</f>
        <v/>
      </c>
      <c r="C55">
        <f>IF(Draft_Import!$D55=C$1,COUNTIF(Draft_Import!$D$2:'Draft_Import'!$D55,C$1),"")</f>
        <v/>
      </c>
      <c r="E55">
        <f>IF(Draft_Import!$D55=E$1,COUNTIF(Draft_Import!$D$2:'Draft_Import'!$D55,E$1),"")</f>
        <v/>
      </c>
      <c r="G55">
        <f>IF(Draft_Import!$D55=G$1,COUNTIF(Draft_Import!$D$2:'Draft_Import'!$D55,G$1),"")</f>
        <v/>
      </c>
      <c r="I55">
        <f>IF(Draft_Import!$D55=I$1,COUNTIF(Draft_Import!$D$2:'Draft_Import'!$D55,I$1),"")</f>
        <v/>
      </c>
      <c r="K55">
        <f>IF(Draft_Import!$D55=K$1,COUNTIF(Draft_Import!$D$2:'Draft_Import'!$D55,K$1),"")</f>
        <v/>
      </c>
      <c r="M55">
        <f>IF(Draft_Import!$D55=M$1,COUNTIF(Draft_Import!$D$2:'Draft_Import'!$D55,M$1),"")</f>
        <v/>
      </c>
      <c r="O55">
        <f>IF(Draft_Import!$D55=O$1,COUNTIF(Draft_Import!$D$2:'Draft_Import'!$D55,O$1),"")</f>
        <v/>
      </c>
      <c r="Q55">
        <f>IF(Draft_Import!$D55=Q$1,COUNTIF(Draft_Import!$D$2:'Draft_Import'!$D55,Q$1),"")</f>
        <v/>
      </c>
      <c r="S55">
        <f>IF(Draft_Import!$D55=S$1,COUNTIF(Draft_Import!$D$2:'Draft_Import'!$D55,S$1),"")</f>
        <v/>
      </c>
    </row>
    <row r="56">
      <c r="A56">
        <f>IF(Draft_Import!$D56=A$1,COUNTIF(Draft_Import!$D$2:'Draft_Import'!$D56,A$1),"")</f>
        <v/>
      </c>
      <c r="C56">
        <f>IF(Draft_Import!$D56=C$1,COUNTIF(Draft_Import!$D$2:'Draft_Import'!$D56,C$1),"")</f>
        <v/>
      </c>
      <c r="E56">
        <f>IF(Draft_Import!$D56=E$1,COUNTIF(Draft_Import!$D$2:'Draft_Import'!$D56,E$1),"")</f>
        <v/>
      </c>
      <c r="G56">
        <f>IF(Draft_Import!$D56=G$1,COUNTIF(Draft_Import!$D$2:'Draft_Import'!$D56,G$1),"")</f>
        <v/>
      </c>
      <c r="I56">
        <f>IF(Draft_Import!$D56=I$1,COUNTIF(Draft_Import!$D$2:'Draft_Import'!$D56,I$1),"")</f>
        <v/>
      </c>
      <c r="K56">
        <f>IF(Draft_Import!$D56=K$1,COUNTIF(Draft_Import!$D$2:'Draft_Import'!$D56,K$1),"")</f>
        <v/>
      </c>
      <c r="M56">
        <f>IF(Draft_Import!$D56=M$1,COUNTIF(Draft_Import!$D$2:'Draft_Import'!$D56,M$1),"")</f>
        <v/>
      </c>
      <c r="O56">
        <f>IF(Draft_Import!$D56=O$1,COUNTIF(Draft_Import!$D$2:'Draft_Import'!$D56,O$1),"")</f>
        <v/>
      </c>
      <c r="Q56">
        <f>IF(Draft_Import!$D56=Q$1,COUNTIF(Draft_Import!$D$2:'Draft_Import'!$D56,Q$1),"")</f>
        <v/>
      </c>
      <c r="S56">
        <f>IF(Draft_Import!$D56=S$1,COUNTIF(Draft_Import!$D$2:'Draft_Import'!$D56,S$1),"")</f>
        <v/>
      </c>
    </row>
    <row r="57">
      <c r="A57">
        <f>IF(Draft_Import!$D57=A$1,COUNTIF(Draft_Import!$D$2:'Draft_Import'!$D57,A$1),"")</f>
        <v/>
      </c>
      <c r="C57">
        <f>IF(Draft_Import!$D57=C$1,COUNTIF(Draft_Import!$D$2:'Draft_Import'!$D57,C$1),"")</f>
        <v/>
      </c>
      <c r="E57">
        <f>IF(Draft_Import!$D57=E$1,COUNTIF(Draft_Import!$D$2:'Draft_Import'!$D57,E$1),"")</f>
        <v/>
      </c>
      <c r="G57">
        <f>IF(Draft_Import!$D57=G$1,COUNTIF(Draft_Import!$D$2:'Draft_Import'!$D57,G$1),"")</f>
        <v/>
      </c>
      <c r="I57">
        <f>IF(Draft_Import!$D57=I$1,COUNTIF(Draft_Import!$D$2:'Draft_Import'!$D57,I$1),"")</f>
        <v/>
      </c>
      <c r="K57">
        <f>IF(Draft_Import!$D57=K$1,COUNTIF(Draft_Import!$D$2:'Draft_Import'!$D57,K$1),"")</f>
        <v/>
      </c>
      <c r="M57">
        <f>IF(Draft_Import!$D57=M$1,COUNTIF(Draft_Import!$D$2:'Draft_Import'!$D57,M$1),"")</f>
        <v/>
      </c>
      <c r="O57">
        <f>IF(Draft_Import!$D57=O$1,COUNTIF(Draft_Import!$D$2:'Draft_Import'!$D57,O$1),"")</f>
        <v/>
      </c>
      <c r="Q57">
        <f>IF(Draft_Import!$D57=Q$1,COUNTIF(Draft_Import!$D$2:'Draft_Import'!$D57,Q$1),"")</f>
        <v/>
      </c>
      <c r="S57">
        <f>IF(Draft_Import!$D57=S$1,COUNTIF(Draft_Import!$D$2:'Draft_Import'!$D57,S$1),"")</f>
        <v/>
      </c>
    </row>
    <row r="58">
      <c r="A58">
        <f>IF(Draft_Import!$D58=A$1,COUNTIF(Draft_Import!$D$2:'Draft_Import'!$D58,A$1),"")</f>
        <v/>
      </c>
      <c r="C58">
        <f>IF(Draft_Import!$D58=C$1,COUNTIF(Draft_Import!$D$2:'Draft_Import'!$D58,C$1),"")</f>
        <v/>
      </c>
      <c r="E58">
        <f>IF(Draft_Import!$D58=E$1,COUNTIF(Draft_Import!$D$2:'Draft_Import'!$D58,E$1),"")</f>
        <v/>
      </c>
      <c r="G58">
        <f>IF(Draft_Import!$D58=G$1,COUNTIF(Draft_Import!$D$2:'Draft_Import'!$D58,G$1),"")</f>
        <v/>
      </c>
      <c r="I58">
        <f>IF(Draft_Import!$D58=I$1,COUNTIF(Draft_Import!$D$2:'Draft_Import'!$D58,I$1),"")</f>
        <v/>
      </c>
      <c r="K58">
        <f>IF(Draft_Import!$D58=K$1,COUNTIF(Draft_Import!$D$2:'Draft_Import'!$D58,K$1),"")</f>
        <v/>
      </c>
      <c r="M58">
        <f>IF(Draft_Import!$D58=M$1,COUNTIF(Draft_Import!$D$2:'Draft_Import'!$D58,M$1),"")</f>
        <v/>
      </c>
      <c r="O58">
        <f>IF(Draft_Import!$D58=O$1,COUNTIF(Draft_Import!$D$2:'Draft_Import'!$D58,O$1),"")</f>
        <v/>
      </c>
      <c r="Q58">
        <f>IF(Draft_Import!$D58=Q$1,COUNTIF(Draft_Import!$D$2:'Draft_Import'!$D58,Q$1),"")</f>
        <v/>
      </c>
      <c r="S58">
        <f>IF(Draft_Import!$D58=S$1,COUNTIF(Draft_Import!$D$2:'Draft_Import'!$D58,S$1),"")</f>
        <v/>
      </c>
    </row>
    <row r="59">
      <c r="A59">
        <f>IF(Draft_Import!$D59=A$1,COUNTIF(Draft_Import!$D$2:'Draft_Import'!$D59,A$1),"")</f>
        <v/>
      </c>
      <c r="C59">
        <f>IF(Draft_Import!$D59=C$1,COUNTIF(Draft_Import!$D$2:'Draft_Import'!$D59,C$1),"")</f>
        <v/>
      </c>
      <c r="E59">
        <f>IF(Draft_Import!$D59=E$1,COUNTIF(Draft_Import!$D$2:'Draft_Import'!$D59,E$1),"")</f>
        <v/>
      </c>
      <c r="G59">
        <f>IF(Draft_Import!$D59=G$1,COUNTIF(Draft_Import!$D$2:'Draft_Import'!$D59,G$1),"")</f>
        <v/>
      </c>
      <c r="I59">
        <f>IF(Draft_Import!$D59=I$1,COUNTIF(Draft_Import!$D$2:'Draft_Import'!$D59,I$1),"")</f>
        <v/>
      </c>
      <c r="K59">
        <f>IF(Draft_Import!$D59=K$1,COUNTIF(Draft_Import!$D$2:'Draft_Import'!$D59,K$1),"")</f>
        <v/>
      </c>
      <c r="M59">
        <f>IF(Draft_Import!$D59=M$1,COUNTIF(Draft_Import!$D$2:'Draft_Import'!$D59,M$1),"")</f>
        <v/>
      </c>
      <c r="O59">
        <f>IF(Draft_Import!$D59=O$1,COUNTIF(Draft_Import!$D$2:'Draft_Import'!$D59,O$1),"")</f>
        <v/>
      </c>
      <c r="Q59">
        <f>IF(Draft_Import!$D59=Q$1,COUNTIF(Draft_Import!$D$2:'Draft_Import'!$D59,Q$1),"")</f>
        <v/>
      </c>
      <c r="S59">
        <f>IF(Draft_Import!$D59=S$1,COUNTIF(Draft_Import!$D$2:'Draft_Import'!$D59,S$1),"")</f>
        <v/>
      </c>
    </row>
    <row r="60">
      <c r="A60">
        <f>IF(Draft_Import!$D60=A$1,COUNTIF(Draft_Import!$D$2:'Draft_Import'!$D60,A$1),"")</f>
        <v/>
      </c>
      <c r="C60">
        <f>IF(Draft_Import!$D60=C$1,COUNTIF(Draft_Import!$D$2:'Draft_Import'!$D60,C$1),"")</f>
        <v/>
      </c>
      <c r="E60">
        <f>IF(Draft_Import!$D60=E$1,COUNTIF(Draft_Import!$D$2:'Draft_Import'!$D60,E$1),"")</f>
        <v/>
      </c>
      <c r="G60">
        <f>IF(Draft_Import!$D60=G$1,COUNTIF(Draft_Import!$D$2:'Draft_Import'!$D60,G$1),"")</f>
        <v/>
      </c>
      <c r="I60">
        <f>IF(Draft_Import!$D60=I$1,COUNTIF(Draft_Import!$D$2:'Draft_Import'!$D60,I$1),"")</f>
        <v/>
      </c>
      <c r="K60">
        <f>IF(Draft_Import!$D60=K$1,COUNTIF(Draft_Import!$D$2:'Draft_Import'!$D60,K$1),"")</f>
        <v/>
      </c>
      <c r="M60">
        <f>IF(Draft_Import!$D60=M$1,COUNTIF(Draft_Import!$D$2:'Draft_Import'!$D60,M$1),"")</f>
        <v/>
      </c>
      <c r="O60">
        <f>IF(Draft_Import!$D60=O$1,COUNTIF(Draft_Import!$D$2:'Draft_Import'!$D60,O$1),"")</f>
        <v/>
      </c>
      <c r="Q60">
        <f>IF(Draft_Import!$D60=Q$1,COUNTIF(Draft_Import!$D$2:'Draft_Import'!$D60,Q$1),"")</f>
        <v/>
      </c>
      <c r="S60">
        <f>IF(Draft_Import!$D60=S$1,COUNTIF(Draft_Import!$D$2:'Draft_Import'!$D60,S$1),"")</f>
        <v/>
      </c>
    </row>
    <row r="61">
      <c r="A61">
        <f>IF(Draft_Import!$D61=A$1,COUNTIF(Draft_Import!$D$2:'Draft_Import'!$D61,A$1),"")</f>
        <v/>
      </c>
      <c r="C61">
        <f>IF(Draft_Import!$D61=C$1,COUNTIF(Draft_Import!$D$2:'Draft_Import'!$D61,C$1),"")</f>
        <v/>
      </c>
      <c r="E61">
        <f>IF(Draft_Import!$D61=E$1,COUNTIF(Draft_Import!$D$2:'Draft_Import'!$D61,E$1),"")</f>
        <v/>
      </c>
      <c r="G61">
        <f>IF(Draft_Import!$D61=G$1,COUNTIF(Draft_Import!$D$2:'Draft_Import'!$D61,G$1),"")</f>
        <v/>
      </c>
      <c r="I61">
        <f>IF(Draft_Import!$D61=I$1,COUNTIF(Draft_Import!$D$2:'Draft_Import'!$D61,I$1),"")</f>
        <v/>
      </c>
      <c r="K61">
        <f>IF(Draft_Import!$D61=K$1,COUNTIF(Draft_Import!$D$2:'Draft_Import'!$D61,K$1),"")</f>
        <v/>
      </c>
      <c r="M61">
        <f>IF(Draft_Import!$D61=M$1,COUNTIF(Draft_Import!$D$2:'Draft_Import'!$D61,M$1),"")</f>
        <v/>
      </c>
      <c r="O61">
        <f>IF(Draft_Import!$D61=O$1,COUNTIF(Draft_Import!$D$2:'Draft_Import'!$D61,O$1),"")</f>
        <v/>
      </c>
      <c r="Q61">
        <f>IF(Draft_Import!$D61=Q$1,COUNTIF(Draft_Import!$D$2:'Draft_Import'!$D61,Q$1),"")</f>
        <v/>
      </c>
      <c r="S61">
        <f>IF(Draft_Import!$D61=S$1,COUNTIF(Draft_Import!$D$2:'Draft_Import'!$D61,S$1),"")</f>
        <v/>
      </c>
    </row>
    <row r="62">
      <c r="A62">
        <f>IF(Draft_Import!$D62=A$1,COUNTIF(Draft_Import!$D$2:'Draft_Import'!$D62,A$1),"")</f>
        <v/>
      </c>
      <c r="C62">
        <f>IF(Draft_Import!$D62=C$1,COUNTIF(Draft_Import!$D$2:'Draft_Import'!$D62,C$1),"")</f>
        <v/>
      </c>
      <c r="E62">
        <f>IF(Draft_Import!$D62=E$1,COUNTIF(Draft_Import!$D$2:'Draft_Import'!$D62,E$1),"")</f>
        <v/>
      </c>
      <c r="G62">
        <f>IF(Draft_Import!$D62=G$1,COUNTIF(Draft_Import!$D$2:'Draft_Import'!$D62,G$1),"")</f>
        <v/>
      </c>
      <c r="I62">
        <f>IF(Draft_Import!$D62=I$1,COUNTIF(Draft_Import!$D$2:'Draft_Import'!$D62,I$1),"")</f>
        <v/>
      </c>
      <c r="K62">
        <f>IF(Draft_Import!$D62=K$1,COUNTIF(Draft_Import!$D$2:'Draft_Import'!$D62,K$1),"")</f>
        <v/>
      </c>
      <c r="M62">
        <f>IF(Draft_Import!$D62=M$1,COUNTIF(Draft_Import!$D$2:'Draft_Import'!$D62,M$1),"")</f>
        <v/>
      </c>
      <c r="O62">
        <f>IF(Draft_Import!$D62=O$1,COUNTIF(Draft_Import!$D$2:'Draft_Import'!$D62,O$1),"")</f>
        <v/>
      </c>
      <c r="Q62">
        <f>IF(Draft_Import!$D62=Q$1,COUNTIF(Draft_Import!$D$2:'Draft_Import'!$D62,Q$1),"")</f>
        <v/>
      </c>
      <c r="S62">
        <f>IF(Draft_Import!$D62=S$1,COUNTIF(Draft_Import!$D$2:'Draft_Import'!$D62,S$1),"")</f>
        <v/>
      </c>
    </row>
    <row r="63">
      <c r="A63">
        <f>IF(Draft_Import!$D63=A$1,COUNTIF(Draft_Import!$D$2:'Draft_Import'!$D63,A$1),"")</f>
        <v/>
      </c>
      <c r="C63">
        <f>IF(Draft_Import!$D63=C$1,COUNTIF(Draft_Import!$D$2:'Draft_Import'!$D63,C$1),"")</f>
        <v/>
      </c>
      <c r="E63">
        <f>IF(Draft_Import!$D63=E$1,COUNTIF(Draft_Import!$D$2:'Draft_Import'!$D63,E$1),"")</f>
        <v/>
      </c>
      <c r="G63">
        <f>IF(Draft_Import!$D63=G$1,COUNTIF(Draft_Import!$D$2:'Draft_Import'!$D63,G$1),"")</f>
        <v/>
      </c>
      <c r="I63">
        <f>IF(Draft_Import!$D63=I$1,COUNTIF(Draft_Import!$D$2:'Draft_Import'!$D63,I$1),"")</f>
        <v/>
      </c>
      <c r="K63">
        <f>IF(Draft_Import!$D63=K$1,COUNTIF(Draft_Import!$D$2:'Draft_Import'!$D63,K$1),"")</f>
        <v/>
      </c>
      <c r="M63">
        <f>IF(Draft_Import!$D63=M$1,COUNTIF(Draft_Import!$D$2:'Draft_Import'!$D63,M$1),"")</f>
        <v/>
      </c>
      <c r="O63">
        <f>IF(Draft_Import!$D63=O$1,COUNTIF(Draft_Import!$D$2:'Draft_Import'!$D63,O$1),"")</f>
        <v/>
      </c>
      <c r="Q63">
        <f>IF(Draft_Import!$D63=Q$1,COUNTIF(Draft_Import!$D$2:'Draft_Import'!$D63,Q$1),"")</f>
        <v/>
      </c>
      <c r="S63">
        <f>IF(Draft_Import!$D63=S$1,COUNTIF(Draft_Import!$D$2:'Draft_Import'!$D63,S$1),"")</f>
        <v/>
      </c>
    </row>
    <row r="64">
      <c r="A64">
        <f>IF(Draft_Import!$D64=A$1,COUNTIF(Draft_Import!$D$2:'Draft_Import'!$D64,A$1),"")</f>
        <v/>
      </c>
      <c r="C64">
        <f>IF(Draft_Import!$D64=C$1,COUNTIF(Draft_Import!$D$2:'Draft_Import'!$D64,C$1),"")</f>
        <v/>
      </c>
      <c r="E64">
        <f>IF(Draft_Import!$D64=E$1,COUNTIF(Draft_Import!$D$2:'Draft_Import'!$D64,E$1),"")</f>
        <v/>
      </c>
      <c r="G64">
        <f>IF(Draft_Import!$D64=G$1,COUNTIF(Draft_Import!$D$2:'Draft_Import'!$D64,G$1),"")</f>
        <v/>
      </c>
      <c r="I64">
        <f>IF(Draft_Import!$D64=I$1,COUNTIF(Draft_Import!$D$2:'Draft_Import'!$D64,I$1),"")</f>
        <v/>
      </c>
      <c r="K64">
        <f>IF(Draft_Import!$D64=K$1,COUNTIF(Draft_Import!$D$2:'Draft_Import'!$D64,K$1),"")</f>
        <v/>
      </c>
      <c r="M64">
        <f>IF(Draft_Import!$D64=M$1,COUNTIF(Draft_Import!$D$2:'Draft_Import'!$D64,M$1),"")</f>
        <v/>
      </c>
      <c r="O64">
        <f>IF(Draft_Import!$D64=O$1,COUNTIF(Draft_Import!$D$2:'Draft_Import'!$D64,O$1),"")</f>
        <v/>
      </c>
      <c r="Q64">
        <f>IF(Draft_Import!$D64=Q$1,COUNTIF(Draft_Import!$D$2:'Draft_Import'!$D64,Q$1),"")</f>
        <v/>
      </c>
      <c r="S64">
        <f>IF(Draft_Import!$D64=S$1,COUNTIF(Draft_Import!$D$2:'Draft_Import'!$D64,S$1),"")</f>
        <v/>
      </c>
    </row>
    <row r="65">
      <c r="A65">
        <f>IF(Draft_Import!$D65=A$1,COUNTIF(Draft_Import!$D$2:'Draft_Import'!$D65,A$1),"")</f>
        <v/>
      </c>
      <c r="C65">
        <f>IF(Draft_Import!$D65=C$1,COUNTIF(Draft_Import!$D$2:'Draft_Import'!$D65,C$1),"")</f>
        <v/>
      </c>
      <c r="E65">
        <f>IF(Draft_Import!$D65=E$1,COUNTIF(Draft_Import!$D$2:'Draft_Import'!$D65,E$1),"")</f>
        <v/>
      </c>
      <c r="G65">
        <f>IF(Draft_Import!$D65=G$1,COUNTIF(Draft_Import!$D$2:'Draft_Import'!$D65,G$1),"")</f>
        <v/>
      </c>
      <c r="I65">
        <f>IF(Draft_Import!$D65=I$1,COUNTIF(Draft_Import!$D$2:'Draft_Import'!$D65,I$1),"")</f>
        <v/>
      </c>
      <c r="K65">
        <f>IF(Draft_Import!$D65=K$1,COUNTIF(Draft_Import!$D$2:'Draft_Import'!$D65,K$1),"")</f>
        <v/>
      </c>
      <c r="M65">
        <f>IF(Draft_Import!$D65=M$1,COUNTIF(Draft_Import!$D$2:'Draft_Import'!$D65,M$1),"")</f>
        <v/>
      </c>
      <c r="O65">
        <f>IF(Draft_Import!$D65=O$1,COUNTIF(Draft_Import!$D$2:'Draft_Import'!$D65,O$1),"")</f>
        <v/>
      </c>
      <c r="Q65">
        <f>IF(Draft_Import!$D65=Q$1,COUNTIF(Draft_Import!$D$2:'Draft_Import'!$D65,Q$1),"")</f>
        <v/>
      </c>
      <c r="S65">
        <f>IF(Draft_Import!$D65=S$1,COUNTIF(Draft_Import!$D$2:'Draft_Import'!$D65,S$1),"")</f>
        <v/>
      </c>
    </row>
    <row r="66">
      <c r="A66">
        <f>IF(Draft_Import!$D66=A$1,COUNTIF(Draft_Import!$D$2:'Draft_Import'!$D66,A$1),"")</f>
        <v/>
      </c>
      <c r="C66">
        <f>IF(Draft_Import!$D66=C$1,COUNTIF(Draft_Import!$D$2:'Draft_Import'!$D66,C$1),"")</f>
        <v/>
      </c>
      <c r="E66">
        <f>IF(Draft_Import!$D66=E$1,COUNTIF(Draft_Import!$D$2:'Draft_Import'!$D66,E$1),"")</f>
        <v/>
      </c>
      <c r="G66">
        <f>IF(Draft_Import!$D66=G$1,COUNTIF(Draft_Import!$D$2:'Draft_Import'!$D66,G$1),"")</f>
        <v/>
      </c>
      <c r="I66">
        <f>IF(Draft_Import!$D66=I$1,COUNTIF(Draft_Import!$D$2:'Draft_Import'!$D66,I$1),"")</f>
        <v/>
      </c>
      <c r="K66">
        <f>IF(Draft_Import!$D66=K$1,COUNTIF(Draft_Import!$D$2:'Draft_Import'!$D66,K$1),"")</f>
        <v/>
      </c>
      <c r="M66">
        <f>IF(Draft_Import!$D66=M$1,COUNTIF(Draft_Import!$D$2:'Draft_Import'!$D66,M$1),"")</f>
        <v/>
      </c>
      <c r="O66">
        <f>IF(Draft_Import!$D66=O$1,COUNTIF(Draft_Import!$D$2:'Draft_Import'!$D66,O$1),"")</f>
        <v/>
      </c>
      <c r="Q66">
        <f>IF(Draft_Import!$D66=Q$1,COUNTIF(Draft_Import!$D$2:'Draft_Import'!$D66,Q$1),"")</f>
        <v/>
      </c>
      <c r="S66">
        <f>IF(Draft_Import!$D66=S$1,COUNTIF(Draft_Import!$D$2:'Draft_Import'!$D66,S$1),"")</f>
        <v/>
      </c>
    </row>
    <row r="67">
      <c r="A67">
        <f>IF(Draft_Import!$D67=A$1,COUNTIF(Draft_Import!$D$2:'Draft_Import'!$D67,A$1),"")</f>
        <v/>
      </c>
      <c r="C67">
        <f>IF(Draft_Import!$D67=C$1,COUNTIF(Draft_Import!$D$2:'Draft_Import'!$D67,C$1),"")</f>
        <v/>
      </c>
      <c r="E67">
        <f>IF(Draft_Import!$D67=E$1,COUNTIF(Draft_Import!$D$2:'Draft_Import'!$D67,E$1),"")</f>
        <v/>
      </c>
      <c r="G67">
        <f>IF(Draft_Import!$D67=G$1,COUNTIF(Draft_Import!$D$2:'Draft_Import'!$D67,G$1),"")</f>
        <v/>
      </c>
      <c r="I67">
        <f>IF(Draft_Import!$D67=I$1,COUNTIF(Draft_Import!$D$2:'Draft_Import'!$D67,I$1),"")</f>
        <v/>
      </c>
      <c r="K67">
        <f>IF(Draft_Import!$D67=K$1,COUNTIF(Draft_Import!$D$2:'Draft_Import'!$D67,K$1),"")</f>
        <v/>
      </c>
      <c r="M67">
        <f>IF(Draft_Import!$D67=M$1,COUNTIF(Draft_Import!$D$2:'Draft_Import'!$D67,M$1),"")</f>
        <v/>
      </c>
      <c r="O67">
        <f>IF(Draft_Import!$D67=O$1,COUNTIF(Draft_Import!$D$2:'Draft_Import'!$D67,O$1),"")</f>
        <v/>
      </c>
      <c r="Q67">
        <f>IF(Draft_Import!$D67=Q$1,COUNTIF(Draft_Import!$D$2:'Draft_Import'!$D67,Q$1),"")</f>
        <v/>
      </c>
      <c r="S67">
        <f>IF(Draft_Import!$D67=S$1,COUNTIF(Draft_Import!$D$2:'Draft_Import'!$D67,S$1),"")</f>
        <v/>
      </c>
    </row>
    <row r="68">
      <c r="A68">
        <f>IF(Draft_Import!$D68=A$1,COUNTIF(Draft_Import!$D$2:'Draft_Import'!$D68,A$1),"")</f>
        <v/>
      </c>
      <c r="C68">
        <f>IF(Draft_Import!$D68=C$1,COUNTIF(Draft_Import!$D$2:'Draft_Import'!$D68,C$1),"")</f>
        <v/>
      </c>
      <c r="E68">
        <f>IF(Draft_Import!$D68=E$1,COUNTIF(Draft_Import!$D$2:'Draft_Import'!$D68,E$1),"")</f>
        <v/>
      </c>
      <c r="G68">
        <f>IF(Draft_Import!$D68=G$1,COUNTIF(Draft_Import!$D$2:'Draft_Import'!$D68,G$1),"")</f>
        <v/>
      </c>
      <c r="I68">
        <f>IF(Draft_Import!$D68=I$1,COUNTIF(Draft_Import!$D$2:'Draft_Import'!$D68,I$1),"")</f>
        <v/>
      </c>
      <c r="K68">
        <f>IF(Draft_Import!$D68=K$1,COUNTIF(Draft_Import!$D$2:'Draft_Import'!$D68,K$1),"")</f>
        <v/>
      </c>
      <c r="M68">
        <f>IF(Draft_Import!$D68=M$1,COUNTIF(Draft_Import!$D$2:'Draft_Import'!$D68,M$1),"")</f>
        <v/>
      </c>
      <c r="O68">
        <f>IF(Draft_Import!$D68=O$1,COUNTIF(Draft_Import!$D$2:'Draft_Import'!$D68,O$1),"")</f>
        <v/>
      </c>
      <c r="Q68">
        <f>IF(Draft_Import!$D68=Q$1,COUNTIF(Draft_Import!$D$2:'Draft_Import'!$D68,Q$1),"")</f>
        <v/>
      </c>
      <c r="S68">
        <f>IF(Draft_Import!$D68=S$1,COUNTIF(Draft_Import!$D$2:'Draft_Import'!$D68,S$1),"")</f>
        <v/>
      </c>
    </row>
    <row r="69">
      <c r="A69">
        <f>IF(Draft_Import!$D69=A$1,COUNTIF(Draft_Import!$D$2:'Draft_Import'!$D69,A$1),"")</f>
        <v/>
      </c>
      <c r="C69">
        <f>IF(Draft_Import!$D69=C$1,COUNTIF(Draft_Import!$D$2:'Draft_Import'!$D69,C$1),"")</f>
        <v/>
      </c>
      <c r="E69">
        <f>IF(Draft_Import!$D69=E$1,COUNTIF(Draft_Import!$D$2:'Draft_Import'!$D69,E$1),"")</f>
        <v/>
      </c>
      <c r="G69">
        <f>IF(Draft_Import!$D69=G$1,COUNTIF(Draft_Import!$D$2:'Draft_Import'!$D69,G$1),"")</f>
        <v/>
      </c>
      <c r="I69">
        <f>IF(Draft_Import!$D69=I$1,COUNTIF(Draft_Import!$D$2:'Draft_Import'!$D69,I$1),"")</f>
        <v/>
      </c>
      <c r="K69">
        <f>IF(Draft_Import!$D69=K$1,COUNTIF(Draft_Import!$D$2:'Draft_Import'!$D69,K$1),"")</f>
        <v/>
      </c>
      <c r="M69">
        <f>IF(Draft_Import!$D69=M$1,COUNTIF(Draft_Import!$D$2:'Draft_Import'!$D69,M$1),"")</f>
        <v/>
      </c>
      <c r="O69">
        <f>IF(Draft_Import!$D69=O$1,COUNTIF(Draft_Import!$D$2:'Draft_Import'!$D69,O$1),"")</f>
        <v/>
      </c>
      <c r="Q69">
        <f>IF(Draft_Import!$D69=Q$1,COUNTIF(Draft_Import!$D$2:'Draft_Import'!$D69,Q$1),"")</f>
        <v/>
      </c>
      <c r="S69">
        <f>IF(Draft_Import!$D69=S$1,COUNTIF(Draft_Import!$D$2:'Draft_Import'!$D69,S$1),"")</f>
        <v/>
      </c>
    </row>
    <row r="70">
      <c r="A70">
        <f>IF(Draft_Import!$D70=A$1,COUNTIF(Draft_Import!$D$2:'Draft_Import'!$D70,A$1),"")</f>
        <v/>
      </c>
      <c r="C70">
        <f>IF(Draft_Import!$D70=C$1,COUNTIF(Draft_Import!$D$2:'Draft_Import'!$D70,C$1),"")</f>
        <v/>
      </c>
      <c r="E70">
        <f>IF(Draft_Import!$D70=E$1,COUNTIF(Draft_Import!$D$2:'Draft_Import'!$D70,E$1),"")</f>
        <v/>
      </c>
      <c r="G70">
        <f>IF(Draft_Import!$D70=G$1,COUNTIF(Draft_Import!$D$2:'Draft_Import'!$D70,G$1),"")</f>
        <v/>
      </c>
      <c r="I70">
        <f>IF(Draft_Import!$D70=I$1,COUNTIF(Draft_Import!$D$2:'Draft_Import'!$D70,I$1),"")</f>
        <v/>
      </c>
      <c r="K70">
        <f>IF(Draft_Import!$D70=K$1,COUNTIF(Draft_Import!$D$2:'Draft_Import'!$D70,K$1),"")</f>
        <v/>
      </c>
      <c r="M70">
        <f>IF(Draft_Import!$D70=M$1,COUNTIF(Draft_Import!$D$2:'Draft_Import'!$D70,M$1),"")</f>
        <v/>
      </c>
      <c r="O70">
        <f>IF(Draft_Import!$D70=O$1,COUNTIF(Draft_Import!$D$2:'Draft_Import'!$D70,O$1),"")</f>
        <v/>
      </c>
      <c r="Q70">
        <f>IF(Draft_Import!$D70=Q$1,COUNTIF(Draft_Import!$D$2:'Draft_Import'!$D70,Q$1),"")</f>
        <v/>
      </c>
      <c r="S70">
        <f>IF(Draft_Import!$D70=S$1,COUNTIF(Draft_Import!$D$2:'Draft_Import'!$D70,S$1),"")</f>
        <v/>
      </c>
    </row>
    <row r="71">
      <c r="A71">
        <f>IF(Draft_Import!$D71=A$1,COUNTIF(Draft_Import!$D$2:'Draft_Import'!$D71,A$1),"")</f>
        <v/>
      </c>
      <c r="C71">
        <f>IF(Draft_Import!$D71=C$1,COUNTIF(Draft_Import!$D$2:'Draft_Import'!$D71,C$1),"")</f>
        <v/>
      </c>
      <c r="E71">
        <f>IF(Draft_Import!$D71=E$1,COUNTIF(Draft_Import!$D$2:'Draft_Import'!$D71,E$1),"")</f>
        <v/>
      </c>
      <c r="G71">
        <f>IF(Draft_Import!$D71=G$1,COUNTIF(Draft_Import!$D$2:'Draft_Import'!$D71,G$1),"")</f>
        <v/>
      </c>
      <c r="I71">
        <f>IF(Draft_Import!$D71=I$1,COUNTIF(Draft_Import!$D$2:'Draft_Import'!$D71,I$1),"")</f>
        <v/>
      </c>
      <c r="K71">
        <f>IF(Draft_Import!$D71=K$1,COUNTIF(Draft_Import!$D$2:'Draft_Import'!$D71,K$1),"")</f>
        <v/>
      </c>
      <c r="M71">
        <f>IF(Draft_Import!$D71=M$1,COUNTIF(Draft_Import!$D$2:'Draft_Import'!$D71,M$1),"")</f>
        <v/>
      </c>
      <c r="O71">
        <f>IF(Draft_Import!$D71=O$1,COUNTIF(Draft_Import!$D$2:'Draft_Import'!$D71,O$1),"")</f>
        <v/>
      </c>
      <c r="Q71">
        <f>IF(Draft_Import!$D71=Q$1,COUNTIF(Draft_Import!$D$2:'Draft_Import'!$D71,Q$1),"")</f>
        <v/>
      </c>
      <c r="S71">
        <f>IF(Draft_Import!$D71=S$1,COUNTIF(Draft_Import!$D$2:'Draft_Import'!$D71,S$1),"")</f>
        <v/>
      </c>
    </row>
    <row r="72">
      <c r="A72">
        <f>IF(Draft_Import!$D72=A$1,COUNTIF(Draft_Import!$D$2:'Draft_Import'!$D72,A$1),"")</f>
        <v/>
      </c>
      <c r="C72">
        <f>IF(Draft_Import!$D72=C$1,COUNTIF(Draft_Import!$D$2:'Draft_Import'!$D72,C$1),"")</f>
        <v/>
      </c>
      <c r="E72">
        <f>IF(Draft_Import!$D72=E$1,COUNTIF(Draft_Import!$D$2:'Draft_Import'!$D72,E$1),"")</f>
        <v/>
      </c>
      <c r="G72">
        <f>IF(Draft_Import!$D72=G$1,COUNTIF(Draft_Import!$D$2:'Draft_Import'!$D72,G$1),"")</f>
        <v/>
      </c>
      <c r="I72">
        <f>IF(Draft_Import!$D72=I$1,COUNTIF(Draft_Import!$D$2:'Draft_Import'!$D72,I$1),"")</f>
        <v/>
      </c>
      <c r="K72">
        <f>IF(Draft_Import!$D72=K$1,COUNTIF(Draft_Import!$D$2:'Draft_Import'!$D72,K$1),"")</f>
        <v/>
      </c>
      <c r="M72">
        <f>IF(Draft_Import!$D72=M$1,COUNTIF(Draft_Import!$D$2:'Draft_Import'!$D72,M$1),"")</f>
        <v/>
      </c>
      <c r="O72">
        <f>IF(Draft_Import!$D72=O$1,COUNTIF(Draft_Import!$D$2:'Draft_Import'!$D72,O$1),"")</f>
        <v/>
      </c>
      <c r="Q72">
        <f>IF(Draft_Import!$D72=Q$1,COUNTIF(Draft_Import!$D$2:'Draft_Import'!$D72,Q$1),"")</f>
        <v/>
      </c>
      <c r="S72">
        <f>IF(Draft_Import!$D72=S$1,COUNTIF(Draft_Import!$D$2:'Draft_Import'!$D72,S$1),"")</f>
        <v/>
      </c>
    </row>
    <row r="73">
      <c r="A73">
        <f>IF(Draft_Import!$D73=A$1,COUNTIF(Draft_Import!$D$2:'Draft_Import'!$D73,A$1),"")</f>
        <v/>
      </c>
      <c r="C73">
        <f>IF(Draft_Import!$D73=C$1,COUNTIF(Draft_Import!$D$2:'Draft_Import'!$D73,C$1),"")</f>
        <v/>
      </c>
      <c r="E73">
        <f>IF(Draft_Import!$D73=E$1,COUNTIF(Draft_Import!$D$2:'Draft_Import'!$D73,E$1),"")</f>
        <v/>
      </c>
      <c r="G73">
        <f>IF(Draft_Import!$D73=G$1,COUNTIF(Draft_Import!$D$2:'Draft_Import'!$D73,G$1),"")</f>
        <v/>
      </c>
      <c r="I73">
        <f>IF(Draft_Import!$D73=I$1,COUNTIF(Draft_Import!$D$2:'Draft_Import'!$D73,I$1),"")</f>
        <v/>
      </c>
      <c r="K73">
        <f>IF(Draft_Import!$D73=K$1,COUNTIF(Draft_Import!$D$2:'Draft_Import'!$D73,K$1),"")</f>
        <v/>
      </c>
      <c r="M73">
        <f>IF(Draft_Import!$D73=M$1,COUNTIF(Draft_Import!$D$2:'Draft_Import'!$D73,M$1),"")</f>
        <v/>
      </c>
      <c r="O73">
        <f>IF(Draft_Import!$D73=O$1,COUNTIF(Draft_Import!$D$2:'Draft_Import'!$D73,O$1),"")</f>
        <v/>
      </c>
      <c r="Q73">
        <f>IF(Draft_Import!$D73=Q$1,COUNTIF(Draft_Import!$D$2:'Draft_Import'!$D73,Q$1),"")</f>
        <v/>
      </c>
      <c r="S73">
        <f>IF(Draft_Import!$D73=S$1,COUNTIF(Draft_Import!$D$2:'Draft_Import'!$D73,S$1),"")</f>
        <v/>
      </c>
    </row>
    <row r="74">
      <c r="A74">
        <f>IF(Draft_Import!$D74=A$1,COUNTIF(Draft_Import!$D$2:'Draft_Import'!$D74,A$1),"")</f>
        <v/>
      </c>
      <c r="C74">
        <f>IF(Draft_Import!$D74=C$1,COUNTIF(Draft_Import!$D$2:'Draft_Import'!$D74,C$1),"")</f>
        <v/>
      </c>
      <c r="E74">
        <f>IF(Draft_Import!$D74=E$1,COUNTIF(Draft_Import!$D$2:'Draft_Import'!$D74,E$1),"")</f>
        <v/>
      </c>
      <c r="G74">
        <f>IF(Draft_Import!$D74=G$1,COUNTIF(Draft_Import!$D$2:'Draft_Import'!$D74,G$1),"")</f>
        <v/>
      </c>
      <c r="I74">
        <f>IF(Draft_Import!$D74=I$1,COUNTIF(Draft_Import!$D$2:'Draft_Import'!$D74,I$1),"")</f>
        <v/>
      </c>
      <c r="K74">
        <f>IF(Draft_Import!$D74=K$1,COUNTIF(Draft_Import!$D$2:'Draft_Import'!$D74,K$1),"")</f>
        <v/>
      </c>
      <c r="M74">
        <f>IF(Draft_Import!$D74=M$1,COUNTIF(Draft_Import!$D$2:'Draft_Import'!$D74,M$1),"")</f>
        <v/>
      </c>
      <c r="O74">
        <f>IF(Draft_Import!$D74=O$1,COUNTIF(Draft_Import!$D$2:'Draft_Import'!$D74,O$1),"")</f>
        <v/>
      </c>
      <c r="Q74">
        <f>IF(Draft_Import!$D74=Q$1,COUNTIF(Draft_Import!$D$2:'Draft_Import'!$D74,Q$1),"")</f>
        <v/>
      </c>
      <c r="S74">
        <f>IF(Draft_Import!$D74=S$1,COUNTIF(Draft_Import!$D$2:'Draft_Import'!$D74,S$1),"")</f>
        <v/>
      </c>
    </row>
    <row r="75">
      <c r="A75">
        <f>IF(Draft_Import!$D75=A$1,COUNTIF(Draft_Import!$D$2:'Draft_Import'!$D75,A$1),"")</f>
        <v/>
      </c>
      <c r="C75">
        <f>IF(Draft_Import!$D75=C$1,COUNTIF(Draft_Import!$D$2:'Draft_Import'!$D75,C$1),"")</f>
        <v/>
      </c>
      <c r="E75">
        <f>IF(Draft_Import!$D75=E$1,COUNTIF(Draft_Import!$D$2:'Draft_Import'!$D75,E$1),"")</f>
        <v/>
      </c>
      <c r="G75">
        <f>IF(Draft_Import!$D75=G$1,COUNTIF(Draft_Import!$D$2:'Draft_Import'!$D75,G$1),"")</f>
        <v/>
      </c>
      <c r="I75">
        <f>IF(Draft_Import!$D75=I$1,COUNTIF(Draft_Import!$D$2:'Draft_Import'!$D75,I$1),"")</f>
        <v/>
      </c>
      <c r="K75">
        <f>IF(Draft_Import!$D75=K$1,COUNTIF(Draft_Import!$D$2:'Draft_Import'!$D75,K$1),"")</f>
        <v/>
      </c>
      <c r="M75">
        <f>IF(Draft_Import!$D75=M$1,COUNTIF(Draft_Import!$D$2:'Draft_Import'!$D75,M$1),"")</f>
        <v/>
      </c>
      <c r="O75">
        <f>IF(Draft_Import!$D75=O$1,COUNTIF(Draft_Import!$D$2:'Draft_Import'!$D75,O$1),"")</f>
        <v/>
      </c>
      <c r="Q75">
        <f>IF(Draft_Import!$D75=Q$1,COUNTIF(Draft_Import!$D$2:'Draft_Import'!$D75,Q$1),"")</f>
        <v/>
      </c>
      <c r="S75">
        <f>IF(Draft_Import!$D75=S$1,COUNTIF(Draft_Import!$D$2:'Draft_Import'!$D75,S$1),"")</f>
        <v/>
      </c>
    </row>
    <row r="76">
      <c r="A76">
        <f>IF(Draft_Import!$D76=A$1,COUNTIF(Draft_Import!$D$2:'Draft_Import'!$D76,A$1),"")</f>
        <v/>
      </c>
      <c r="C76">
        <f>IF(Draft_Import!$D76=C$1,COUNTIF(Draft_Import!$D$2:'Draft_Import'!$D76,C$1),"")</f>
        <v/>
      </c>
      <c r="E76">
        <f>IF(Draft_Import!$D76=E$1,COUNTIF(Draft_Import!$D$2:'Draft_Import'!$D76,E$1),"")</f>
        <v/>
      </c>
      <c r="G76">
        <f>IF(Draft_Import!$D76=G$1,COUNTIF(Draft_Import!$D$2:'Draft_Import'!$D76,G$1),"")</f>
        <v/>
      </c>
      <c r="I76">
        <f>IF(Draft_Import!$D76=I$1,COUNTIF(Draft_Import!$D$2:'Draft_Import'!$D76,I$1),"")</f>
        <v/>
      </c>
      <c r="K76">
        <f>IF(Draft_Import!$D76=K$1,COUNTIF(Draft_Import!$D$2:'Draft_Import'!$D76,K$1),"")</f>
        <v/>
      </c>
      <c r="M76">
        <f>IF(Draft_Import!$D76=M$1,COUNTIF(Draft_Import!$D$2:'Draft_Import'!$D76,M$1),"")</f>
        <v/>
      </c>
      <c r="O76">
        <f>IF(Draft_Import!$D76=O$1,COUNTIF(Draft_Import!$D$2:'Draft_Import'!$D76,O$1),"")</f>
        <v/>
      </c>
      <c r="Q76">
        <f>IF(Draft_Import!$D76=Q$1,COUNTIF(Draft_Import!$D$2:'Draft_Import'!$D76,Q$1),"")</f>
        <v/>
      </c>
      <c r="S76">
        <f>IF(Draft_Import!$D76=S$1,COUNTIF(Draft_Import!$D$2:'Draft_Import'!$D76,S$1),"")</f>
        <v/>
      </c>
    </row>
    <row r="77">
      <c r="A77">
        <f>IF(Draft_Import!$D77=A$1,COUNTIF(Draft_Import!$D$2:'Draft_Import'!$D77,A$1),"")</f>
        <v/>
      </c>
      <c r="C77">
        <f>IF(Draft_Import!$D77=C$1,COUNTIF(Draft_Import!$D$2:'Draft_Import'!$D77,C$1),"")</f>
        <v/>
      </c>
      <c r="E77">
        <f>IF(Draft_Import!$D77=E$1,COUNTIF(Draft_Import!$D$2:'Draft_Import'!$D77,E$1),"")</f>
        <v/>
      </c>
      <c r="G77">
        <f>IF(Draft_Import!$D77=G$1,COUNTIF(Draft_Import!$D$2:'Draft_Import'!$D77,G$1),"")</f>
        <v/>
      </c>
      <c r="I77">
        <f>IF(Draft_Import!$D77=I$1,COUNTIF(Draft_Import!$D$2:'Draft_Import'!$D77,I$1),"")</f>
        <v/>
      </c>
      <c r="K77">
        <f>IF(Draft_Import!$D77=K$1,COUNTIF(Draft_Import!$D$2:'Draft_Import'!$D77,K$1),"")</f>
        <v/>
      </c>
      <c r="M77">
        <f>IF(Draft_Import!$D77=M$1,COUNTIF(Draft_Import!$D$2:'Draft_Import'!$D77,M$1),"")</f>
        <v/>
      </c>
      <c r="O77">
        <f>IF(Draft_Import!$D77=O$1,COUNTIF(Draft_Import!$D$2:'Draft_Import'!$D77,O$1),"")</f>
        <v/>
      </c>
      <c r="Q77">
        <f>IF(Draft_Import!$D77=Q$1,COUNTIF(Draft_Import!$D$2:'Draft_Import'!$D77,Q$1),"")</f>
        <v/>
      </c>
      <c r="S77">
        <f>IF(Draft_Import!$D77=S$1,COUNTIF(Draft_Import!$D$2:'Draft_Import'!$D77,S$1),"")</f>
        <v/>
      </c>
    </row>
    <row r="78">
      <c r="A78">
        <f>IF(Draft_Import!$D78=A$1,COUNTIF(Draft_Import!$D$2:'Draft_Import'!$D78,A$1),"")</f>
        <v/>
      </c>
      <c r="C78">
        <f>IF(Draft_Import!$D78=C$1,COUNTIF(Draft_Import!$D$2:'Draft_Import'!$D78,C$1),"")</f>
        <v/>
      </c>
      <c r="E78">
        <f>IF(Draft_Import!$D78=E$1,COUNTIF(Draft_Import!$D$2:'Draft_Import'!$D78,E$1),"")</f>
        <v/>
      </c>
      <c r="G78">
        <f>IF(Draft_Import!$D78=G$1,COUNTIF(Draft_Import!$D$2:'Draft_Import'!$D78,G$1),"")</f>
        <v/>
      </c>
      <c r="I78">
        <f>IF(Draft_Import!$D78=I$1,COUNTIF(Draft_Import!$D$2:'Draft_Import'!$D78,I$1),"")</f>
        <v/>
      </c>
      <c r="K78">
        <f>IF(Draft_Import!$D78=K$1,COUNTIF(Draft_Import!$D$2:'Draft_Import'!$D78,K$1),"")</f>
        <v/>
      </c>
      <c r="M78">
        <f>IF(Draft_Import!$D78=M$1,COUNTIF(Draft_Import!$D$2:'Draft_Import'!$D78,M$1),"")</f>
        <v/>
      </c>
      <c r="O78">
        <f>IF(Draft_Import!$D78=O$1,COUNTIF(Draft_Import!$D$2:'Draft_Import'!$D78,O$1),"")</f>
        <v/>
      </c>
      <c r="Q78">
        <f>IF(Draft_Import!$D78=Q$1,COUNTIF(Draft_Import!$D$2:'Draft_Import'!$D78,Q$1),"")</f>
        <v/>
      </c>
      <c r="S78">
        <f>IF(Draft_Import!$D78=S$1,COUNTIF(Draft_Import!$D$2:'Draft_Import'!$D78,S$1),"")</f>
        <v/>
      </c>
    </row>
    <row r="79">
      <c r="A79">
        <f>IF(Draft_Import!$D79=A$1,COUNTIF(Draft_Import!$D$2:'Draft_Import'!$D79,A$1),"")</f>
        <v/>
      </c>
      <c r="C79">
        <f>IF(Draft_Import!$D79=C$1,COUNTIF(Draft_Import!$D$2:'Draft_Import'!$D79,C$1),"")</f>
        <v/>
      </c>
      <c r="E79">
        <f>IF(Draft_Import!$D79=E$1,COUNTIF(Draft_Import!$D$2:'Draft_Import'!$D79,E$1),"")</f>
        <v/>
      </c>
      <c r="G79">
        <f>IF(Draft_Import!$D79=G$1,COUNTIF(Draft_Import!$D$2:'Draft_Import'!$D79,G$1),"")</f>
        <v/>
      </c>
      <c r="I79">
        <f>IF(Draft_Import!$D79=I$1,COUNTIF(Draft_Import!$D$2:'Draft_Import'!$D79,I$1),"")</f>
        <v/>
      </c>
      <c r="K79">
        <f>IF(Draft_Import!$D79=K$1,COUNTIF(Draft_Import!$D$2:'Draft_Import'!$D79,K$1),"")</f>
        <v/>
      </c>
      <c r="M79">
        <f>IF(Draft_Import!$D79=M$1,COUNTIF(Draft_Import!$D$2:'Draft_Import'!$D79,M$1),"")</f>
        <v/>
      </c>
      <c r="O79">
        <f>IF(Draft_Import!$D79=O$1,COUNTIF(Draft_Import!$D$2:'Draft_Import'!$D79,O$1),"")</f>
        <v/>
      </c>
      <c r="Q79">
        <f>IF(Draft_Import!$D79=Q$1,COUNTIF(Draft_Import!$D$2:'Draft_Import'!$D79,Q$1),"")</f>
        <v/>
      </c>
      <c r="S79">
        <f>IF(Draft_Import!$D79=S$1,COUNTIF(Draft_Import!$D$2:'Draft_Import'!$D79,S$1),"")</f>
        <v/>
      </c>
    </row>
    <row r="80">
      <c r="A80">
        <f>IF(Draft_Import!$D80=A$1,COUNTIF(Draft_Import!$D$2:'Draft_Import'!$D80,A$1),"")</f>
        <v/>
      </c>
      <c r="C80">
        <f>IF(Draft_Import!$D80=C$1,COUNTIF(Draft_Import!$D$2:'Draft_Import'!$D80,C$1),"")</f>
        <v/>
      </c>
      <c r="E80">
        <f>IF(Draft_Import!$D80=E$1,COUNTIF(Draft_Import!$D$2:'Draft_Import'!$D80,E$1),"")</f>
        <v/>
      </c>
      <c r="G80">
        <f>IF(Draft_Import!$D80=G$1,COUNTIF(Draft_Import!$D$2:'Draft_Import'!$D80,G$1),"")</f>
        <v/>
      </c>
      <c r="I80">
        <f>IF(Draft_Import!$D80=I$1,COUNTIF(Draft_Import!$D$2:'Draft_Import'!$D80,I$1),"")</f>
        <v/>
      </c>
      <c r="K80">
        <f>IF(Draft_Import!$D80=K$1,COUNTIF(Draft_Import!$D$2:'Draft_Import'!$D80,K$1),"")</f>
        <v/>
      </c>
      <c r="M80">
        <f>IF(Draft_Import!$D80=M$1,COUNTIF(Draft_Import!$D$2:'Draft_Import'!$D80,M$1),"")</f>
        <v/>
      </c>
      <c r="O80">
        <f>IF(Draft_Import!$D80=O$1,COUNTIF(Draft_Import!$D$2:'Draft_Import'!$D80,O$1),"")</f>
        <v/>
      </c>
      <c r="Q80">
        <f>IF(Draft_Import!$D80=Q$1,COUNTIF(Draft_Import!$D$2:'Draft_Import'!$D80,Q$1),"")</f>
        <v/>
      </c>
      <c r="S80">
        <f>IF(Draft_Import!$D80=S$1,COUNTIF(Draft_Import!$D$2:'Draft_Import'!$D80,S$1),"")</f>
        <v/>
      </c>
    </row>
    <row r="81">
      <c r="A81">
        <f>IF(Draft_Import!$D81=A$1,COUNTIF(Draft_Import!$D$2:'Draft_Import'!$D81,A$1),"")</f>
        <v/>
      </c>
      <c r="C81">
        <f>IF(Draft_Import!$D81=C$1,COUNTIF(Draft_Import!$D$2:'Draft_Import'!$D81,C$1),"")</f>
        <v/>
      </c>
      <c r="E81">
        <f>IF(Draft_Import!$D81=E$1,COUNTIF(Draft_Import!$D$2:'Draft_Import'!$D81,E$1),"")</f>
        <v/>
      </c>
      <c r="G81">
        <f>IF(Draft_Import!$D81=G$1,COUNTIF(Draft_Import!$D$2:'Draft_Import'!$D81,G$1),"")</f>
        <v/>
      </c>
      <c r="I81">
        <f>IF(Draft_Import!$D81=I$1,COUNTIF(Draft_Import!$D$2:'Draft_Import'!$D81,I$1),"")</f>
        <v/>
      </c>
      <c r="K81">
        <f>IF(Draft_Import!$D81=K$1,COUNTIF(Draft_Import!$D$2:'Draft_Import'!$D81,K$1),"")</f>
        <v/>
      </c>
      <c r="M81">
        <f>IF(Draft_Import!$D81=M$1,COUNTIF(Draft_Import!$D$2:'Draft_Import'!$D81,M$1),"")</f>
        <v/>
      </c>
      <c r="O81">
        <f>IF(Draft_Import!$D81=O$1,COUNTIF(Draft_Import!$D$2:'Draft_Import'!$D81,O$1),"")</f>
        <v/>
      </c>
      <c r="Q81">
        <f>IF(Draft_Import!$D81=Q$1,COUNTIF(Draft_Import!$D$2:'Draft_Import'!$D81,Q$1),"")</f>
        <v/>
      </c>
      <c r="S81">
        <f>IF(Draft_Import!$D81=S$1,COUNTIF(Draft_Import!$D$2:'Draft_Import'!$D81,S$1),"")</f>
        <v/>
      </c>
    </row>
    <row r="82">
      <c r="A82">
        <f>IF(Draft_Import!$D82=A$1,COUNTIF(Draft_Import!$D$2:'Draft_Import'!$D82,A$1),"")</f>
        <v/>
      </c>
      <c r="C82">
        <f>IF(Draft_Import!$D82=C$1,COUNTIF(Draft_Import!$D$2:'Draft_Import'!$D82,C$1),"")</f>
        <v/>
      </c>
      <c r="E82">
        <f>IF(Draft_Import!$D82=E$1,COUNTIF(Draft_Import!$D$2:'Draft_Import'!$D82,E$1),"")</f>
        <v/>
      </c>
      <c r="G82">
        <f>IF(Draft_Import!$D82=G$1,COUNTIF(Draft_Import!$D$2:'Draft_Import'!$D82,G$1),"")</f>
        <v/>
      </c>
      <c r="I82">
        <f>IF(Draft_Import!$D82=I$1,COUNTIF(Draft_Import!$D$2:'Draft_Import'!$D82,I$1),"")</f>
        <v/>
      </c>
      <c r="K82">
        <f>IF(Draft_Import!$D82=K$1,COUNTIF(Draft_Import!$D$2:'Draft_Import'!$D82,K$1),"")</f>
        <v/>
      </c>
      <c r="M82">
        <f>IF(Draft_Import!$D82=M$1,COUNTIF(Draft_Import!$D$2:'Draft_Import'!$D82,M$1),"")</f>
        <v/>
      </c>
      <c r="O82">
        <f>IF(Draft_Import!$D82=O$1,COUNTIF(Draft_Import!$D$2:'Draft_Import'!$D82,O$1),"")</f>
        <v/>
      </c>
      <c r="Q82">
        <f>IF(Draft_Import!$D82=Q$1,COUNTIF(Draft_Import!$D$2:'Draft_Import'!$D82,Q$1),"")</f>
        <v/>
      </c>
      <c r="S82">
        <f>IF(Draft_Import!$D82=S$1,COUNTIF(Draft_Import!$D$2:'Draft_Import'!$D82,S$1),"")</f>
        <v/>
      </c>
    </row>
    <row r="83">
      <c r="A83">
        <f>IF(Draft_Import!$D83=A$1,COUNTIF(Draft_Import!$D$2:'Draft_Import'!$D83,A$1),"")</f>
        <v/>
      </c>
      <c r="C83">
        <f>IF(Draft_Import!$D83=C$1,COUNTIF(Draft_Import!$D$2:'Draft_Import'!$D83,C$1),"")</f>
        <v/>
      </c>
      <c r="E83">
        <f>IF(Draft_Import!$D83=E$1,COUNTIF(Draft_Import!$D$2:'Draft_Import'!$D83,E$1),"")</f>
        <v/>
      </c>
      <c r="G83">
        <f>IF(Draft_Import!$D83=G$1,COUNTIF(Draft_Import!$D$2:'Draft_Import'!$D83,G$1),"")</f>
        <v/>
      </c>
      <c r="I83">
        <f>IF(Draft_Import!$D83=I$1,COUNTIF(Draft_Import!$D$2:'Draft_Import'!$D83,I$1),"")</f>
        <v/>
      </c>
      <c r="K83">
        <f>IF(Draft_Import!$D83=K$1,COUNTIF(Draft_Import!$D$2:'Draft_Import'!$D83,K$1),"")</f>
        <v/>
      </c>
      <c r="M83">
        <f>IF(Draft_Import!$D83=M$1,COUNTIF(Draft_Import!$D$2:'Draft_Import'!$D83,M$1),"")</f>
        <v/>
      </c>
      <c r="O83">
        <f>IF(Draft_Import!$D83=O$1,COUNTIF(Draft_Import!$D$2:'Draft_Import'!$D83,O$1),"")</f>
        <v/>
      </c>
      <c r="Q83">
        <f>IF(Draft_Import!$D83=Q$1,COUNTIF(Draft_Import!$D$2:'Draft_Import'!$D83,Q$1),"")</f>
        <v/>
      </c>
      <c r="S83">
        <f>IF(Draft_Import!$D83=S$1,COUNTIF(Draft_Import!$D$2:'Draft_Import'!$D83,S$1),"")</f>
        <v/>
      </c>
    </row>
    <row r="84">
      <c r="A84">
        <f>IF(Draft_Import!$D84=A$1,COUNTIF(Draft_Import!$D$2:'Draft_Import'!$D84,A$1),"")</f>
        <v/>
      </c>
      <c r="C84">
        <f>IF(Draft_Import!$D84=C$1,COUNTIF(Draft_Import!$D$2:'Draft_Import'!$D84,C$1),"")</f>
        <v/>
      </c>
      <c r="E84">
        <f>IF(Draft_Import!$D84=E$1,COUNTIF(Draft_Import!$D$2:'Draft_Import'!$D84,E$1),"")</f>
        <v/>
      </c>
      <c r="G84">
        <f>IF(Draft_Import!$D84=G$1,COUNTIF(Draft_Import!$D$2:'Draft_Import'!$D84,G$1),"")</f>
        <v/>
      </c>
      <c r="I84">
        <f>IF(Draft_Import!$D84=I$1,COUNTIF(Draft_Import!$D$2:'Draft_Import'!$D84,I$1),"")</f>
        <v/>
      </c>
      <c r="K84">
        <f>IF(Draft_Import!$D84=K$1,COUNTIF(Draft_Import!$D$2:'Draft_Import'!$D84,K$1),"")</f>
        <v/>
      </c>
      <c r="M84">
        <f>IF(Draft_Import!$D84=M$1,COUNTIF(Draft_Import!$D$2:'Draft_Import'!$D84,M$1),"")</f>
        <v/>
      </c>
      <c r="O84">
        <f>IF(Draft_Import!$D84=O$1,COUNTIF(Draft_Import!$D$2:'Draft_Import'!$D84,O$1),"")</f>
        <v/>
      </c>
      <c r="Q84">
        <f>IF(Draft_Import!$D84=Q$1,COUNTIF(Draft_Import!$D$2:'Draft_Import'!$D84,Q$1),"")</f>
        <v/>
      </c>
      <c r="S84">
        <f>IF(Draft_Import!$D84=S$1,COUNTIF(Draft_Import!$D$2:'Draft_Import'!$D84,S$1),"")</f>
        <v/>
      </c>
    </row>
    <row r="85">
      <c r="A85">
        <f>IF(Draft_Import!$D85=A$1,COUNTIF(Draft_Import!$D$2:'Draft_Import'!$D85,A$1),"")</f>
        <v/>
      </c>
      <c r="C85">
        <f>IF(Draft_Import!$D85=C$1,COUNTIF(Draft_Import!$D$2:'Draft_Import'!$D85,C$1),"")</f>
        <v/>
      </c>
      <c r="E85">
        <f>IF(Draft_Import!$D85=E$1,COUNTIF(Draft_Import!$D$2:'Draft_Import'!$D85,E$1),"")</f>
        <v/>
      </c>
      <c r="G85">
        <f>IF(Draft_Import!$D85=G$1,COUNTIF(Draft_Import!$D$2:'Draft_Import'!$D85,G$1),"")</f>
        <v/>
      </c>
      <c r="I85">
        <f>IF(Draft_Import!$D85=I$1,COUNTIF(Draft_Import!$D$2:'Draft_Import'!$D85,I$1),"")</f>
        <v/>
      </c>
      <c r="K85">
        <f>IF(Draft_Import!$D85=K$1,COUNTIF(Draft_Import!$D$2:'Draft_Import'!$D85,K$1),"")</f>
        <v/>
      </c>
      <c r="M85">
        <f>IF(Draft_Import!$D85=M$1,COUNTIF(Draft_Import!$D$2:'Draft_Import'!$D85,M$1),"")</f>
        <v/>
      </c>
      <c r="O85">
        <f>IF(Draft_Import!$D85=O$1,COUNTIF(Draft_Import!$D$2:'Draft_Import'!$D85,O$1),"")</f>
        <v/>
      </c>
      <c r="Q85">
        <f>IF(Draft_Import!$D85=Q$1,COUNTIF(Draft_Import!$D$2:'Draft_Import'!$D85,Q$1),"")</f>
        <v/>
      </c>
      <c r="S85">
        <f>IF(Draft_Import!$D85=S$1,COUNTIF(Draft_Import!$D$2:'Draft_Import'!$D85,S$1),"")</f>
        <v/>
      </c>
    </row>
    <row r="86">
      <c r="A86">
        <f>IF(Draft_Import!$D86=A$1,COUNTIF(Draft_Import!$D$2:'Draft_Import'!$D86,A$1),"")</f>
        <v/>
      </c>
      <c r="C86">
        <f>IF(Draft_Import!$D86=C$1,COUNTIF(Draft_Import!$D$2:'Draft_Import'!$D86,C$1),"")</f>
        <v/>
      </c>
      <c r="E86">
        <f>IF(Draft_Import!$D86=E$1,COUNTIF(Draft_Import!$D$2:'Draft_Import'!$D86,E$1),"")</f>
        <v/>
      </c>
      <c r="G86">
        <f>IF(Draft_Import!$D86=G$1,COUNTIF(Draft_Import!$D$2:'Draft_Import'!$D86,G$1),"")</f>
        <v/>
      </c>
      <c r="I86">
        <f>IF(Draft_Import!$D86=I$1,COUNTIF(Draft_Import!$D$2:'Draft_Import'!$D86,I$1),"")</f>
        <v/>
      </c>
      <c r="K86">
        <f>IF(Draft_Import!$D86=K$1,COUNTIF(Draft_Import!$D$2:'Draft_Import'!$D86,K$1),"")</f>
        <v/>
      </c>
      <c r="M86">
        <f>IF(Draft_Import!$D86=M$1,COUNTIF(Draft_Import!$D$2:'Draft_Import'!$D86,M$1),"")</f>
        <v/>
      </c>
      <c r="O86">
        <f>IF(Draft_Import!$D86=O$1,COUNTIF(Draft_Import!$D$2:'Draft_Import'!$D86,O$1),"")</f>
        <v/>
      </c>
      <c r="Q86">
        <f>IF(Draft_Import!$D86=Q$1,COUNTIF(Draft_Import!$D$2:'Draft_Import'!$D86,Q$1),"")</f>
        <v/>
      </c>
      <c r="S86">
        <f>IF(Draft_Import!$D86=S$1,COUNTIF(Draft_Import!$D$2:'Draft_Import'!$D86,S$1),"")</f>
        <v/>
      </c>
    </row>
    <row r="87">
      <c r="A87">
        <f>IF(Draft_Import!$D87=A$1,COUNTIF(Draft_Import!$D$2:'Draft_Import'!$D87,A$1),"")</f>
        <v/>
      </c>
      <c r="C87">
        <f>IF(Draft_Import!$D87=C$1,COUNTIF(Draft_Import!$D$2:'Draft_Import'!$D87,C$1),"")</f>
        <v/>
      </c>
      <c r="E87">
        <f>IF(Draft_Import!$D87=E$1,COUNTIF(Draft_Import!$D$2:'Draft_Import'!$D87,E$1),"")</f>
        <v/>
      </c>
      <c r="G87">
        <f>IF(Draft_Import!$D87=G$1,COUNTIF(Draft_Import!$D$2:'Draft_Import'!$D87,G$1),"")</f>
        <v/>
      </c>
      <c r="I87">
        <f>IF(Draft_Import!$D87=I$1,COUNTIF(Draft_Import!$D$2:'Draft_Import'!$D87,I$1),"")</f>
        <v/>
      </c>
      <c r="K87">
        <f>IF(Draft_Import!$D87=K$1,COUNTIF(Draft_Import!$D$2:'Draft_Import'!$D87,K$1),"")</f>
        <v/>
      </c>
      <c r="M87">
        <f>IF(Draft_Import!$D87=M$1,COUNTIF(Draft_Import!$D$2:'Draft_Import'!$D87,M$1),"")</f>
        <v/>
      </c>
      <c r="O87">
        <f>IF(Draft_Import!$D87=O$1,COUNTIF(Draft_Import!$D$2:'Draft_Import'!$D87,O$1),"")</f>
        <v/>
      </c>
      <c r="Q87">
        <f>IF(Draft_Import!$D87=Q$1,COUNTIF(Draft_Import!$D$2:'Draft_Import'!$D87,Q$1),"")</f>
        <v/>
      </c>
      <c r="S87">
        <f>IF(Draft_Import!$D87=S$1,COUNTIF(Draft_Import!$D$2:'Draft_Import'!$D87,S$1),"")</f>
        <v/>
      </c>
    </row>
    <row r="88">
      <c r="A88">
        <f>IF(Draft_Import!$D88=A$1,COUNTIF(Draft_Import!$D$2:'Draft_Import'!$D88,A$1),"")</f>
        <v/>
      </c>
      <c r="C88">
        <f>IF(Draft_Import!$D88=C$1,COUNTIF(Draft_Import!$D$2:'Draft_Import'!$D88,C$1),"")</f>
        <v/>
      </c>
      <c r="E88">
        <f>IF(Draft_Import!$D88=E$1,COUNTIF(Draft_Import!$D$2:'Draft_Import'!$D88,E$1),"")</f>
        <v/>
      </c>
      <c r="G88">
        <f>IF(Draft_Import!$D88=G$1,COUNTIF(Draft_Import!$D$2:'Draft_Import'!$D88,G$1),"")</f>
        <v/>
      </c>
      <c r="I88">
        <f>IF(Draft_Import!$D88=I$1,COUNTIF(Draft_Import!$D$2:'Draft_Import'!$D88,I$1),"")</f>
        <v/>
      </c>
      <c r="K88">
        <f>IF(Draft_Import!$D88=K$1,COUNTIF(Draft_Import!$D$2:'Draft_Import'!$D88,K$1),"")</f>
        <v/>
      </c>
      <c r="M88">
        <f>IF(Draft_Import!$D88=M$1,COUNTIF(Draft_Import!$D$2:'Draft_Import'!$D88,M$1),"")</f>
        <v/>
      </c>
      <c r="O88">
        <f>IF(Draft_Import!$D88=O$1,COUNTIF(Draft_Import!$D$2:'Draft_Import'!$D88,O$1),"")</f>
        <v/>
      </c>
      <c r="Q88">
        <f>IF(Draft_Import!$D88=Q$1,COUNTIF(Draft_Import!$D$2:'Draft_Import'!$D88,Q$1),"")</f>
        <v/>
      </c>
      <c r="S88">
        <f>IF(Draft_Import!$D88=S$1,COUNTIF(Draft_Import!$D$2:'Draft_Import'!$D88,S$1),"")</f>
        <v/>
      </c>
    </row>
    <row r="89">
      <c r="A89">
        <f>IF(Draft_Import!$D89=A$1,COUNTIF(Draft_Import!$D$2:'Draft_Import'!$D89,A$1),"")</f>
        <v/>
      </c>
      <c r="C89">
        <f>IF(Draft_Import!$D89=C$1,COUNTIF(Draft_Import!$D$2:'Draft_Import'!$D89,C$1),"")</f>
        <v/>
      </c>
      <c r="E89">
        <f>IF(Draft_Import!$D89=E$1,COUNTIF(Draft_Import!$D$2:'Draft_Import'!$D89,E$1),"")</f>
        <v/>
      </c>
      <c r="G89">
        <f>IF(Draft_Import!$D89=G$1,COUNTIF(Draft_Import!$D$2:'Draft_Import'!$D89,G$1),"")</f>
        <v/>
      </c>
      <c r="I89">
        <f>IF(Draft_Import!$D89=I$1,COUNTIF(Draft_Import!$D$2:'Draft_Import'!$D89,I$1),"")</f>
        <v/>
      </c>
      <c r="K89">
        <f>IF(Draft_Import!$D89=K$1,COUNTIF(Draft_Import!$D$2:'Draft_Import'!$D89,K$1),"")</f>
        <v/>
      </c>
      <c r="M89">
        <f>IF(Draft_Import!$D89=M$1,COUNTIF(Draft_Import!$D$2:'Draft_Import'!$D89,M$1),"")</f>
        <v/>
      </c>
      <c r="O89">
        <f>IF(Draft_Import!$D89=O$1,COUNTIF(Draft_Import!$D$2:'Draft_Import'!$D89,O$1),"")</f>
        <v/>
      </c>
      <c r="Q89">
        <f>IF(Draft_Import!$D89=Q$1,COUNTIF(Draft_Import!$D$2:'Draft_Import'!$D89,Q$1),"")</f>
        <v/>
      </c>
      <c r="S89">
        <f>IF(Draft_Import!$D89=S$1,COUNTIF(Draft_Import!$D$2:'Draft_Import'!$D89,S$1),"")</f>
        <v/>
      </c>
    </row>
    <row r="90">
      <c r="A90">
        <f>IF(Draft_Import!$D90=A$1,COUNTIF(Draft_Import!$D$2:'Draft_Import'!$D90,A$1),"")</f>
        <v/>
      </c>
      <c r="C90">
        <f>IF(Draft_Import!$D90=C$1,COUNTIF(Draft_Import!$D$2:'Draft_Import'!$D90,C$1),"")</f>
        <v/>
      </c>
      <c r="E90">
        <f>IF(Draft_Import!$D90=E$1,COUNTIF(Draft_Import!$D$2:'Draft_Import'!$D90,E$1),"")</f>
        <v/>
      </c>
      <c r="G90">
        <f>IF(Draft_Import!$D90=G$1,COUNTIF(Draft_Import!$D$2:'Draft_Import'!$D90,G$1),"")</f>
        <v/>
      </c>
      <c r="I90">
        <f>IF(Draft_Import!$D90=I$1,COUNTIF(Draft_Import!$D$2:'Draft_Import'!$D90,I$1),"")</f>
        <v/>
      </c>
      <c r="K90">
        <f>IF(Draft_Import!$D90=K$1,COUNTIF(Draft_Import!$D$2:'Draft_Import'!$D90,K$1),"")</f>
        <v/>
      </c>
      <c r="M90">
        <f>IF(Draft_Import!$D90=M$1,COUNTIF(Draft_Import!$D$2:'Draft_Import'!$D90,M$1),"")</f>
        <v/>
      </c>
      <c r="O90">
        <f>IF(Draft_Import!$D90=O$1,COUNTIF(Draft_Import!$D$2:'Draft_Import'!$D90,O$1),"")</f>
        <v/>
      </c>
      <c r="Q90">
        <f>IF(Draft_Import!$D90=Q$1,COUNTIF(Draft_Import!$D$2:'Draft_Import'!$D90,Q$1),"")</f>
        <v/>
      </c>
      <c r="S90">
        <f>IF(Draft_Import!$D90=S$1,COUNTIF(Draft_Import!$D$2:'Draft_Import'!$D90,S$1),"")</f>
        <v/>
      </c>
    </row>
    <row r="91">
      <c r="A91">
        <f>IF(Draft_Import!$D91=A$1,COUNTIF(Draft_Import!$D$2:'Draft_Import'!$D91,A$1),"")</f>
        <v/>
      </c>
      <c r="C91">
        <f>IF(Draft_Import!$D91=C$1,COUNTIF(Draft_Import!$D$2:'Draft_Import'!$D91,C$1),"")</f>
        <v/>
      </c>
      <c r="E91">
        <f>IF(Draft_Import!$D91=E$1,COUNTIF(Draft_Import!$D$2:'Draft_Import'!$D91,E$1),"")</f>
        <v/>
      </c>
      <c r="G91">
        <f>IF(Draft_Import!$D91=G$1,COUNTIF(Draft_Import!$D$2:'Draft_Import'!$D91,G$1),"")</f>
        <v/>
      </c>
      <c r="I91">
        <f>IF(Draft_Import!$D91=I$1,COUNTIF(Draft_Import!$D$2:'Draft_Import'!$D91,I$1),"")</f>
        <v/>
      </c>
      <c r="K91">
        <f>IF(Draft_Import!$D91=K$1,COUNTIF(Draft_Import!$D$2:'Draft_Import'!$D91,K$1),"")</f>
        <v/>
      </c>
      <c r="M91">
        <f>IF(Draft_Import!$D91=M$1,COUNTIF(Draft_Import!$D$2:'Draft_Import'!$D91,M$1),"")</f>
        <v/>
      </c>
      <c r="O91">
        <f>IF(Draft_Import!$D91=O$1,COUNTIF(Draft_Import!$D$2:'Draft_Import'!$D91,O$1),"")</f>
        <v/>
      </c>
      <c r="Q91">
        <f>IF(Draft_Import!$D91=Q$1,COUNTIF(Draft_Import!$D$2:'Draft_Import'!$D91,Q$1),"")</f>
        <v/>
      </c>
      <c r="S91">
        <f>IF(Draft_Import!$D91=S$1,COUNTIF(Draft_Import!$D$2:'Draft_Import'!$D91,S$1),"")</f>
        <v/>
      </c>
    </row>
    <row r="92">
      <c r="A92">
        <f>IF(Draft_Import!$D92=A$1,COUNTIF(Draft_Import!$D$2:'Draft_Import'!$D92,A$1),"")</f>
        <v/>
      </c>
      <c r="C92">
        <f>IF(Draft_Import!$D92=C$1,COUNTIF(Draft_Import!$D$2:'Draft_Import'!$D92,C$1),"")</f>
        <v/>
      </c>
      <c r="E92">
        <f>IF(Draft_Import!$D92=E$1,COUNTIF(Draft_Import!$D$2:'Draft_Import'!$D92,E$1),"")</f>
        <v/>
      </c>
      <c r="G92">
        <f>IF(Draft_Import!$D92=G$1,COUNTIF(Draft_Import!$D$2:'Draft_Import'!$D92,G$1),"")</f>
        <v/>
      </c>
      <c r="I92">
        <f>IF(Draft_Import!$D92=I$1,COUNTIF(Draft_Import!$D$2:'Draft_Import'!$D92,I$1),"")</f>
        <v/>
      </c>
      <c r="K92">
        <f>IF(Draft_Import!$D92=K$1,COUNTIF(Draft_Import!$D$2:'Draft_Import'!$D92,K$1),"")</f>
        <v/>
      </c>
      <c r="M92">
        <f>IF(Draft_Import!$D92=M$1,COUNTIF(Draft_Import!$D$2:'Draft_Import'!$D92,M$1),"")</f>
        <v/>
      </c>
      <c r="O92">
        <f>IF(Draft_Import!$D92=O$1,COUNTIF(Draft_Import!$D$2:'Draft_Import'!$D92,O$1),"")</f>
        <v/>
      </c>
      <c r="Q92">
        <f>IF(Draft_Import!$D92=Q$1,COUNTIF(Draft_Import!$D$2:'Draft_Import'!$D92,Q$1),"")</f>
        <v/>
      </c>
      <c r="S92">
        <f>IF(Draft_Import!$D92=S$1,COUNTIF(Draft_Import!$D$2:'Draft_Import'!$D92,S$1),"")</f>
        <v/>
      </c>
    </row>
    <row r="93">
      <c r="A93">
        <f>IF(Draft_Import!$D93=A$1,COUNTIF(Draft_Import!$D$2:'Draft_Import'!$D93,A$1),"")</f>
        <v/>
      </c>
      <c r="C93">
        <f>IF(Draft_Import!$D93=C$1,COUNTIF(Draft_Import!$D$2:'Draft_Import'!$D93,C$1),"")</f>
        <v/>
      </c>
      <c r="E93">
        <f>IF(Draft_Import!$D93=E$1,COUNTIF(Draft_Import!$D$2:'Draft_Import'!$D93,E$1),"")</f>
        <v/>
      </c>
      <c r="G93">
        <f>IF(Draft_Import!$D93=G$1,COUNTIF(Draft_Import!$D$2:'Draft_Import'!$D93,G$1),"")</f>
        <v/>
      </c>
      <c r="I93">
        <f>IF(Draft_Import!$D93=I$1,COUNTIF(Draft_Import!$D$2:'Draft_Import'!$D93,I$1),"")</f>
        <v/>
      </c>
      <c r="K93">
        <f>IF(Draft_Import!$D93=K$1,COUNTIF(Draft_Import!$D$2:'Draft_Import'!$D93,K$1),"")</f>
        <v/>
      </c>
      <c r="M93">
        <f>IF(Draft_Import!$D93=M$1,COUNTIF(Draft_Import!$D$2:'Draft_Import'!$D93,M$1),"")</f>
        <v/>
      </c>
      <c r="O93">
        <f>IF(Draft_Import!$D93=O$1,COUNTIF(Draft_Import!$D$2:'Draft_Import'!$D93,O$1),"")</f>
        <v/>
      </c>
      <c r="Q93">
        <f>IF(Draft_Import!$D93=Q$1,COUNTIF(Draft_Import!$D$2:'Draft_Import'!$D93,Q$1),"")</f>
        <v/>
      </c>
      <c r="S93">
        <f>IF(Draft_Import!$D93=S$1,COUNTIF(Draft_Import!$D$2:'Draft_Import'!$D93,S$1),"")</f>
        <v/>
      </c>
    </row>
    <row r="94">
      <c r="A94">
        <f>IF(Draft_Import!$D94=A$1,COUNTIF(Draft_Import!$D$2:'Draft_Import'!$D94,A$1),"")</f>
        <v/>
      </c>
      <c r="C94">
        <f>IF(Draft_Import!$D94=C$1,COUNTIF(Draft_Import!$D$2:'Draft_Import'!$D94,C$1),"")</f>
        <v/>
      </c>
      <c r="E94">
        <f>IF(Draft_Import!$D94=E$1,COUNTIF(Draft_Import!$D$2:'Draft_Import'!$D94,E$1),"")</f>
        <v/>
      </c>
      <c r="G94">
        <f>IF(Draft_Import!$D94=G$1,COUNTIF(Draft_Import!$D$2:'Draft_Import'!$D94,G$1),"")</f>
        <v/>
      </c>
      <c r="I94">
        <f>IF(Draft_Import!$D94=I$1,COUNTIF(Draft_Import!$D$2:'Draft_Import'!$D94,I$1),"")</f>
        <v/>
      </c>
      <c r="K94">
        <f>IF(Draft_Import!$D94=K$1,COUNTIF(Draft_Import!$D$2:'Draft_Import'!$D94,K$1),"")</f>
        <v/>
      </c>
      <c r="M94">
        <f>IF(Draft_Import!$D94=M$1,COUNTIF(Draft_Import!$D$2:'Draft_Import'!$D94,M$1),"")</f>
        <v/>
      </c>
      <c r="O94">
        <f>IF(Draft_Import!$D94=O$1,COUNTIF(Draft_Import!$D$2:'Draft_Import'!$D94,O$1),"")</f>
        <v/>
      </c>
      <c r="Q94">
        <f>IF(Draft_Import!$D94=Q$1,COUNTIF(Draft_Import!$D$2:'Draft_Import'!$D94,Q$1),"")</f>
        <v/>
      </c>
      <c r="S94">
        <f>IF(Draft_Import!$D94=S$1,COUNTIF(Draft_Import!$D$2:'Draft_Import'!$D94,S$1),"")</f>
        <v/>
      </c>
    </row>
    <row r="95">
      <c r="A95">
        <f>IF(Draft_Import!$D95=A$1,COUNTIF(Draft_Import!$D$2:'Draft_Import'!$D95,A$1),"")</f>
        <v/>
      </c>
      <c r="C95">
        <f>IF(Draft_Import!$D95=C$1,COUNTIF(Draft_Import!$D$2:'Draft_Import'!$D95,C$1),"")</f>
        <v/>
      </c>
      <c r="E95">
        <f>IF(Draft_Import!$D95=E$1,COUNTIF(Draft_Import!$D$2:'Draft_Import'!$D95,E$1),"")</f>
        <v/>
      </c>
      <c r="G95">
        <f>IF(Draft_Import!$D95=G$1,COUNTIF(Draft_Import!$D$2:'Draft_Import'!$D95,G$1),"")</f>
        <v/>
      </c>
      <c r="I95">
        <f>IF(Draft_Import!$D95=I$1,COUNTIF(Draft_Import!$D$2:'Draft_Import'!$D95,I$1),"")</f>
        <v/>
      </c>
      <c r="K95">
        <f>IF(Draft_Import!$D95=K$1,COUNTIF(Draft_Import!$D$2:'Draft_Import'!$D95,K$1),"")</f>
        <v/>
      </c>
      <c r="M95">
        <f>IF(Draft_Import!$D95=M$1,COUNTIF(Draft_Import!$D$2:'Draft_Import'!$D95,M$1),"")</f>
        <v/>
      </c>
      <c r="O95">
        <f>IF(Draft_Import!$D95=O$1,COUNTIF(Draft_Import!$D$2:'Draft_Import'!$D95,O$1),"")</f>
        <v/>
      </c>
      <c r="Q95">
        <f>IF(Draft_Import!$D95=Q$1,COUNTIF(Draft_Import!$D$2:'Draft_Import'!$D95,Q$1),"")</f>
        <v/>
      </c>
      <c r="S95">
        <f>IF(Draft_Import!$D95=S$1,COUNTIF(Draft_Import!$D$2:'Draft_Import'!$D95,S$1),"")</f>
        <v/>
      </c>
    </row>
    <row r="96">
      <c r="A96">
        <f>IF(Draft_Import!$D96=A$1,COUNTIF(Draft_Import!$D$2:'Draft_Import'!$D96,A$1),"")</f>
        <v/>
      </c>
      <c r="C96">
        <f>IF(Draft_Import!$D96=C$1,COUNTIF(Draft_Import!$D$2:'Draft_Import'!$D96,C$1),"")</f>
        <v/>
      </c>
      <c r="E96">
        <f>IF(Draft_Import!$D96=E$1,COUNTIF(Draft_Import!$D$2:'Draft_Import'!$D96,E$1),"")</f>
        <v/>
      </c>
      <c r="G96">
        <f>IF(Draft_Import!$D96=G$1,COUNTIF(Draft_Import!$D$2:'Draft_Import'!$D96,G$1),"")</f>
        <v/>
      </c>
      <c r="I96">
        <f>IF(Draft_Import!$D96=I$1,COUNTIF(Draft_Import!$D$2:'Draft_Import'!$D96,I$1),"")</f>
        <v/>
      </c>
      <c r="K96">
        <f>IF(Draft_Import!$D96=K$1,COUNTIF(Draft_Import!$D$2:'Draft_Import'!$D96,K$1),"")</f>
        <v/>
      </c>
      <c r="M96">
        <f>IF(Draft_Import!$D96=M$1,COUNTIF(Draft_Import!$D$2:'Draft_Import'!$D96,M$1),"")</f>
        <v/>
      </c>
      <c r="O96">
        <f>IF(Draft_Import!$D96=O$1,COUNTIF(Draft_Import!$D$2:'Draft_Import'!$D96,O$1),"")</f>
        <v/>
      </c>
      <c r="Q96">
        <f>IF(Draft_Import!$D96=Q$1,COUNTIF(Draft_Import!$D$2:'Draft_Import'!$D96,Q$1),"")</f>
        <v/>
      </c>
      <c r="S96">
        <f>IF(Draft_Import!$D96=S$1,COUNTIF(Draft_Import!$D$2:'Draft_Import'!$D96,S$1),"")</f>
        <v/>
      </c>
    </row>
    <row r="97">
      <c r="A97">
        <f>IF(Draft_Import!$D97=A$1,COUNTIF(Draft_Import!$D$2:'Draft_Import'!$D97,A$1),"")</f>
        <v/>
      </c>
      <c r="C97">
        <f>IF(Draft_Import!$D97=C$1,COUNTIF(Draft_Import!$D$2:'Draft_Import'!$D97,C$1),"")</f>
        <v/>
      </c>
      <c r="E97">
        <f>IF(Draft_Import!$D97=E$1,COUNTIF(Draft_Import!$D$2:'Draft_Import'!$D97,E$1),"")</f>
        <v/>
      </c>
      <c r="G97">
        <f>IF(Draft_Import!$D97=G$1,COUNTIF(Draft_Import!$D$2:'Draft_Import'!$D97,G$1),"")</f>
        <v/>
      </c>
      <c r="I97">
        <f>IF(Draft_Import!$D97=I$1,COUNTIF(Draft_Import!$D$2:'Draft_Import'!$D97,I$1),"")</f>
        <v/>
      </c>
      <c r="K97">
        <f>IF(Draft_Import!$D97=K$1,COUNTIF(Draft_Import!$D$2:'Draft_Import'!$D97,K$1),"")</f>
        <v/>
      </c>
      <c r="M97">
        <f>IF(Draft_Import!$D97=M$1,COUNTIF(Draft_Import!$D$2:'Draft_Import'!$D97,M$1),"")</f>
        <v/>
      </c>
      <c r="O97">
        <f>IF(Draft_Import!$D97=O$1,COUNTIF(Draft_Import!$D$2:'Draft_Import'!$D97,O$1),"")</f>
        <v/>
      </c>
      <c r="Q97">
        <f>IF(Draft_Import!$D97=Q$1,COUNTIF(Draft_Import!$D$2:'Draft_Import'!$D97,Q$1),"")</f>
        <v/>
      </c>
      <c r="S97">
        <f>IF(Draft_Import!$D97=S$1,COUNTIF(Draft_Import!$D$2:'Draft_Import'!$D97,S$1),"")</f>
        <v/>
      </c>
    </row>
    <row r="98">
      <c r="A98">
        <f>IF(Draft_Import!$D98=A$1,COUNTIF(Draft_Import!$D$2:'Draft_Import'!$D98,A$1),"")</f>
        <v/>
      </c>
      <c r="C98">
        <f>IF(Draft_Import!$D98=C$1,COUNTIF(Draft_Import!$D$2:'Draft_Import'!$D98,C$1),"")</f>
        <v/>
      </c>
      <c r="E98">
        <f>IF(Draft_Import!$D98=E$1,COUNTIF(Draft_Import!$D$2:'Draft_Import'!$D98,E$1),"")</f>
        <v/>
      </c>
      <c r="G98">
        <f>IF(Draft_Import!$D98=G$1,COUNTIF(Draft_Import!$D$2:'Draft_Import'!$D98,G$1),"")</f>
        <v/>
      </c>
      <c r="I98">
        <f>IF(Draft_Import!$D98=I$1,COUNTIF(Draft_Import!$D$2:'Draft_Import'!$D98,I$1),"")</f>
        <v/>
      </c>
      <c r="K98">
        <f>IF(Draft_Import!$D98=K$1,COUNTIF(Draft_Import!$D$2:'Draft_Import'!$D98,K$1),"")</f>
        <v/>
      </c>
      <c r="M98">
        <f>IF(Draft_Import!$D98=M$1,COUNTIF(Draft_Import!$D$2:'Draft_Import'!$D98,M$1),"")</f>
        <v/>
      </c>
      <c r="O98">
        <f>IF(Draft_Import!$D98=O$1,COUNTIF(Draft_Import!$D$2:'Draft_Import'!$D98,O$1),"")</f>
        <v/>
      </c>
      <c r="Q98">
        <f>IF(Draft_Import!$D98=Q$1,COUNTIF(Draft_Import!$D$2:'Draft_Import'!$D98,Q$1),"")</f>
        <v/>
      </c>
      <c r="S98">
        <f>IF(Draft_Import!$D98=S$1,COUNTIF(Draft_Import!$D$2:'Draft_Import'!$D98,S$1),"")</f>
        <v/>
      </c>
    </row>
    <row r="99">
      <c r="A99">
        <f>IF(Draft_Import!$D99=A$1,COUNTIF(Draft_Import!$D$2:'Draft_Import'!$D99,A$1),"")</f>
        <v/>
      </c>
      <c r="C99">
        <f>IF(Draft_Import!$D99=C$1,COUNTIF(Draft_Import!$D$2:'Draft_Import'!$D99,C$1),"")</f>
        <v/>
      </c>
      <c r="E99">
        <f>IF(Draft_Import!$D99=E$1,COUNTIF(Draft_Import!$D$2:'Draft_Import'!$D99,E$1),"")</f>
        <v/>
      </c>
      <c r="G99">
        <f>IF(Draft_Import!$D99=G$1,COUNTIF(Draft_Import!$D$2:'Draft_Import'!$D99,G$1),"")</f>
        <v/>
      </c>
      <c r="I99">
        <f>IF(Draft_Import!$D99=I$1,COUNTIF(Draft_Import!$D$2:'Draft_Import'!$D99,I$1),"")</f>
        <v/>
      </c>
      <c r="K99">
        <f>IF(Draft_Import!$D99=K$1,COUNTIF(Draft_Import!$D$2:'Draft_Import'!$D99,K$1),"")</f>
        <v/>
      </c>
      <c r="M99">
        <f>IF(Draft_Import!$D99=M$1,COUNTIF(Draft_Import!$D$2:'Draft_Import'!$D99,M$1),"")</f>
        <v/>
      </c>
      <c r="O99">
        <f>IF(Draft_Import!$D99=O$1,COUNTIF(Draft_Import!$D$2:'Draft_Import'!$D99,O$1),"")</f>
        <v/>
      </c>
      <c r="Q99">
        <f>IF(Draft_Import!$D99=Q$1,COUNTIF(Draft_Import!$D$2:'Draft_Import'!$D99,Q$1),"")</f>
        <v/>
      </c>
      <c r="S99">
        <f>IF(Draft_Import!$D99=S$1,COUNTIF(Draft_Import!$D$2:'Draft_Import'!$D99,S$1),"")</f>
        <v/>
      </c>
    </row>
    <row r="100">
      <c r="A100">
        <f>IF(Draft_Import!$D100=A$1,COUNTIF(Draft_Import!$D$2:'Draft_Import'!$D100,A$1),"")</f>
        <v/>
      </c>
      <c r="C100">
        <f>IF(Draft_Import!$D100=C$1,COUNTIF(Draft_Import!$D$2:'Draft_Import'!$D100,C$1),"")</f>
        <v/>
      </c>
      <c r="E100">
        <f>IF(Draft_Import!$D100=E$1,COUNTIF(Draft_Import!$D$2:'Draft_Import'!$D100,E$1),"")</f>
        <v/>
      </c>
      <c r="G100">
        <f>IF(Draft_Import!$D100=G$1,COUNTIF(Draft_Import!$D$2:'Draft_Import'!$D100,G$1),"")</f>
        <v/>
      </c>
      <c r="I100">
        <f>IF(Draft_Import!$D100=I$1,COUNTIF(Draft_Import!$D$2:'Draft_Import'!$D100,I$1),"")</f>
        <v/>
      </c>
      <c r="K100">
        <f>IF(Draft_Import!$D100=K$1,COUNTIF(Draft_Import!$D$2:'Draft_Import'!$D100,K$1),"")</f>
        <v/>
      </c>
      <c r="M100">
        <f>IF(Draft_Import!$D100=M$1,COUNTIF(Draft_Import!$D$2:'Draft_Import'!$D100,M$1),"")</f>
        <v/>
      </c>
      <c r="O100">
        <f>IF(Draft_Import!$D100=O$1,COUNTIF(Draft_Import!$D$2:'Draft_Import'!$D100,O$1),"")</f>
        <v/>
      </c>
      <c r="Q100">
        <f>IF(Draft_Import!$D100=Q$1,COUNTIF(Draft_Import!$D$2:'Draft_Import'!$D100,Q$1),"")</f>
        <v/>
      </c>
      <c r="S100">
        <f>IF(Draft_Import!$D100=S$1,COUNTIF(Draft_Import!$D$2:'Draft_Import'!$D100,S$1),"")</f>
        <v/>
      </c>
    </row>
    <row r="101">
      <c r="A101">
        <f>IF(Draft_Import!$D101=A$1,COUNTIF(Draft_Import!$D$2:'Draft_Import'!$D101,A$1),"")</f>
        <v/>
      </c>
      <c r="C101">
        <f>IF(Draft_Import!$D101=C$1,COUNTIF(Draft_Import!$D$2:'Draft_Import'!$D101,C$1),"")</f>
        <v/>
      </c>
      <c r="E101">
        <f>IF(Draft_Import!$D101=E$1,COUNTIF(Draft_Import!$D$2:'Draft_Import'!$D101,E$1),"")</f>
        <v/>
      </c>
      <c r="G101">
        <f>IF(Draft_Import!$D101=G$1,COUNTIF(Draft_Import!$D$2:'Draft_Import'!$D101,G$1),"")</f>
        <v/>
      </c>
      <c r="I101">
        <f>IF(Draft_Import!$D101=I$1,COUNTIF(Draft_Import!$D$2:'Draft_Import'!$D101,I$1),"")</f>
        <v/>
      </c>
      <c r="K101">
        <f>IF(Draft_Import!$D101=K$1,COUNTIF(Draft_Import!$D$2:'Draft_Import'!$D101,K$1),"")</f>
        <v/>
      </c>
      <c r="M101">
        <f>IF(Draft_Import!$D101=M$1,COUNTIF(Draft_Import!$D$2:'Draft_Import'!$D101,M$1),"")</f>
        <v/>
      </c>
      <c r="O101">
        <f>IF(Draft_Import!$D101=O$1,COUNTIF(Draft_Import!$D$2:'Draft_Import'!$D101,O$1),"")</f>
        <v/>
      </c>
      <c r="Q101">
        <f>IF(Draft_Import!$D101=Q$1,COUNTIF(Draft_Import!$D$2:'Draft_Import'!$D101,Q$1),"")</f>
        <v/>
      </c>
      <c r="S101">
        <f>IF(Draft_Import!$D101=S$1,COUNTIF(Draft_Import!$D$2:'Draft_Import'!$D101,S$1),"")</f>
        <v/>
      </c>
    </row>
    <row r="102">
      <c r="A102">
        <f>IF(Draft_Import!$D102=A$1,COUNTIF(Draft_Import!$D$2:'Draft_Import'!$D102,A$1),"")</f>
        <v/>
      </c>
      <c r="C102">
        <f>IF(Draft_Import!$D102=C$1,COUNTIF(Draft_Import!$D$2:'Draft_Import'!$D102,C$1),"")</f>
        <v/>
      </c>
      <c r="E102">
        <f>IF(Draft_Import!$D102=E$1,COUNTIF(Draft_Import!$D$2:'Draft_Import'!$D102,E$1),"")</f>
        <v/>
      </c>
      <c r="G102">
        <f>IF(Draft_Import!$D102=G$1,COUNTIF(Draft_Import!$D$2:'Draft_Import'!$D102,G$1),"")</f>
        <v/>
      </c>
      <c r="I102">
        <f>IF(Draft_Import!$D102=I$1,COUNTIF(Draft_Import!$D$2:'Draft_Import'!$D102,I$1),"")</f>
        <v/>
      </c>
      <c r="K102">
        <f>IF(Draft_Import!$D102=K$1,COUNTIF(Draft_Import!$D$2:'Draft_Import'!$D102,K$1),"")</f>
        <v/>
      </c>
      <c r="M102">
        <f>IF(Draft_Import!$D102=M$1,COUNTIF(Draft_Import!$D$2:'Draft_Import'!$D102,M$1),"")</f>
        <v/>
      </c>
      <c r="O102">
        <f>IF(Draft_Import!$D102=O$1,COUNTIF(Draft_Import!$D$2:'Draft_Import'!$D102,O$1),"")</f>
        <v/>
      </c>
      <c r="Q102">
        <f>IF(Draft_Import!$D102=Q$1,COUNTIF(Draft_Import!$D$2:'Draft_Import'!$D102,Q$1),"")</f>
        <v/>
      </c>
      <c r="S102">
        <f>IF(Draft_Import!$D102=S$1,COUNTIF(Draft_Import!$D$2:'Draft_Import'!$D102,S$1),"")</f>
        <v/>
      </c>
    </row>
    <row r="103">
      <c r="A103">
        <f>IF(Draft_Import!$D103=A$1,COUNTIF(Draft_Import!$D$2:'Draft_Import'!$D103,A$1),"")</f>
        <v/>
      </c>
      <c r="C103">
        <f>IF(Draft_Import!$D103=C$1,COUNTIF(Draft_Import!$D$2:'Draft_Import'!$D103,C$1),"")</f>
        <v/>
      </c>
      <c r="E103">
        <f>IF(Draft_Import!$D103=E$1,COUNTIF(Draft_Import!$D$2:'Draft_Import'!$D103,E$1),"")</f>
        <v/>
      </c>
      <c r="G103">
        <f>IF(Draft_Import!$D103=G$1,COUNTIF(Draft_Import!$D$2:'Draft_Import'!$D103,G$1),"")</f>
        <v/>
      </c>
      <c r="I103">
        <f>IF(Draft_Import!$D103=I$1,COUNTIF(Draft_Import!$D$2:'Draft_Import'!$D103,I$1),"")</f>
        <v/>
      </c>
      <c r="K103">
        <f>IF(Draft_Import!$D103=K$1,COUNTIF(Draft_Import!$D$2:'Draft_Import'!$D103,K$1),"")</f>
        <v/>
      </c>
      <c r="M103">
        <f>IF(Draft_Import!$D103=M$1,COUNTIF(Draft_Import!$D$2:'Draft_Import'!$D103,M$1),"")</f>
        <v/>
      </c>
      <c r="O103">
        <f>IF(Draft_Import!$D103=O$1,COUNTIF(Draft_Import!$D$2:'Draft_Import'!$D103,O$1),"")</f>
        <v/>
      </c>
      <c r="Q103">
        <f>IF(Draft_Import!$D103=Q$1,COUNTIF(Draft_Import!$D$2:'Draft_Import'!$D103,Q$1),"")</f>
        <v/>
      </c>
      <c r="S103">
        <f>IF(Draft_Import!$D103=S$1,COUNTIF(Draft_Import!$D$2:'Draft_Import'!$D103,S$1),"")</f>
        <v/>
      </c>
    </row>
    <row r="104">
      <c r="A104">
        <f>IF(Draft_Import!$D104=A$1,COUNTIF(Draft_Import!$D$2:'Draft_Import'!$D104,A$1),"")</f>
        <v/>
      </c>
      <c r="C104">
        <f>IF(Draft_Import!$D104=C$1,COUNTIF(Draft_Import!$D$2:'Draft_Import'!$D104,C$1),"")</f>
        <v/>
      </c>
      <c r="E104">
        <f>IF(Draft_Import!$D104=E$1,COUNTIF(Draft_Import!$D$2:'Draft_Import'!$D104,E$1),"")</f>
        <v/>
      </c>
      <c r="G104">
        <f>IF(Draft_Import!$D104=G$1,COUNTIF(Draft_Import!$D$2:'Draft_Import'!$D104,G$1),"")</f>
        <v/>
      </c>
      <c r="I104">
        <f>IF(Draft_Import!$D104=I$1,COUNTIF(Draft_Import!$D$2:'Draft_Import'!$D104,I$1),"")</f>
        <v/>
      </c>
      <c r="K104">
        <f>IF(Draft_Import!$D104=K$1,COUNTIF(Draft_Import!$D$2:'Draft_Import'!$D104,K$1),"")</f>
        <v/>
      </c>
      <c r="M104">
        <f>IF(Draft_Import!$D104=M$1,COUNTIF(Draft_Import!$D$2:'Draft_Import'!$D104,M$1),"")</f>
        <v/>
      </c>
      <c r="O104">
        <f>IF(Draft_Import!$D104=O$1,COUNTIF(Draft_Import!$D$2:'Draft_Import'!$D104,O$1),"")</f>
        <v/>
      </c>
      <c r="Q104">
        <f>IF(Draft_Import!$D104=Q$1,COUNTIF(Draft_Import!$D$2:'Draft_Import'!$D104,Q$1),"")</f>
        <v/>
      </c>
      <c r="S104">
        <f>IF(Draft_Import!$D104=S$1,COUNTIF(Draft_Import!$D$2:'Draft_Import'!$D104,S$1),"")</f>
        <v/>
      </c>
    </row>
    <row r="105">
      <c r="A105">
        <f>IF(Draft_Import!$D105=A$1,COUNTIF(Draft_Import!$D$2:'Draft_Import'!$D105,A$1),"")</f>
        <v/>
      </c>
      <c r="C105">
        <f>IF(Draft_Import!$D105=C$1,COUNTIF(Draft_Import!$D$2:'Draft_Import'!$D105,C$1),"")</f>
        <v/>
      </c>
      <c r="E105">
        <f>IF(Draft_Import!$D105=E$1,COUNTIF(Draft_Import!$D$2:'Draft_Import'!$D105,E$1),"")</f>
        <v/>
      </c>
      <c r="G105">
        <f>IF(Draft_Import!$D105=G$1,COUNTIF(Draft_Import!$D$2:'Draft_Import'!$D105,G$1),"")</f>
        <v/>
      </c>
      <c r="I105">
        <f>IF(Draft_Import!$D105=I$1,COUNTIF(Draft_Import!$D$2:'Draft_Import'!$D105,I$1),"")</f>
        <v/>
      </c>
      <c r="K105">
        <f>IF(Draft_Import!$D105=K$1,COUNTIF(Draft_Import!$D$2:'Draft_Import'!$D105,K$1),"")</f>
        <v/>
      </c>
      <c r="M105">
        <f>IF(Draft_Import!$D105=M$1,COUNTIF(Draft_Import!$D$2:'Draft_Import'!$D105,M$1),"")</f>
        <v/>
      </c>
      <c r="O105">
        <f>IF(Draft_Import!$D105=O$1,COUNTIF(Draft_Import!$D$2:'Draft_Import'!$D105,O$1),"")</f>
        <v/>
      </c>
      <c r="Q105">
        <f>IF(Draft_Import!$D105=Q$1,COUNTIF(Draft_Import!$D$2:'Draft_Import'!$D105,Q$1),"")</f>
        <v/>
      </c>
      <c r="S105">
        <f>IF(Draft_Import!$D105=S$1,COUNTIF(Draft_Import!$D$2:'Draft_Import'!$D105,S$1),"")</f>
        <v/>
      </c>
    </row>
    <row r="106">
      <c r="A106">
        <f>IF(Draft_Import!$D106=A$1,COUNTIF(Draft_Import!$D$2:'Draft_Import'!$D106,A$1),"")</f>
        <v/>
      </c>
      <c r="C106">
        <f>IF(Draft_Import!$D106=C$1,COUNTIF(Draft_Import!$D$2:'Draft_Import'!$D106,C$1),"")</f>
        <v/>
      </c>
      <c r="E106">
        <f>IF(Draft_Import!$D106=E$1,COUNTIF(Draft_Import!$D$2:'Draft_Import'!$D106,E$1),"")</f>
        <v/>
      </c>
      <c r="G106">
        <f>IF(Draft_Import!$D106=G$1,COUNTIF(Draft_Import!$D$2:'Draft_Import'!$D106,G$1),"")</f>
        <v/>
      </c>
      <c r="I106">
        <f>IF(Draft_Import!$D106=I$1,COUNTIF(Draft_Import!$D$2:'Draft_Import'!$D106,I$1),"")</f>
        <v/>
      </c>
      <c r="K106">
        <f>IF(Draft_Import!$D106=K$1,COUNTIF(Draft_Import!$D$2:'Draft_Import'!$D106,K$1),"")</f>
        <v/>
      </c>
      <c r="M106">
        <f>IF(Draft_Import!$D106=M$1,COUNTIF(Draft_Import!$D$2:'Draft_Import'!$D106,M$1),"")</f>
        <v/>
      </c>
      <c r="O106">
        <f>IF(Draft_Import!$D106=O$1,COUNTIF(Draft_Import!$D$2:'Draft_Import'!$D106,O$1),"")</f>
        <v/>
      </c>
      <c r="Q106">
        <f>IF(Draft_Import!$D106=Q$1,COUNTIF(Draft_Import!$D$2:'Draft_Import'!$D106,Q$1),"")</f>
        <v/>
      </c>
      <c r="S106">
        <f>IF(Draft_Import!$D106=S$1,COUNTIF(Draft_Import!$D$2:'Draft_Import'!$D106,S$1),"")</f>
        <v/>
      </c>
    </row>
    <row r="107">
      <c r="A107">
        <f>IF(Draft_Import!$D107=A$1,COUNTIF(Draft_Import!$D$2:'Draft_Import'!$D107,A$1),"")</f>
        <v/>
      </c>
      <c r="C107">
        <f>IF(Draft_Import!$D107=C$1,COUNTIF(Draft_Import!$D$2:'Draft_Import'!$D107,C$1),"")</f>
        <v/>
      </c>
      <c r="E107">
        <f>IF(Draft_Import!$D107=E$1,COUNTIF(Draft_Import!$D$2:'Draft_Import'!$D107,E$1),"")</f>
        <v/>
      </c>
      <c r="G107">
        <f>IF(Draft_Import!$D107=G$1,COUNTIF(Draft_Import!$D$2:'Draft_Import'!$D107,G$1),"")</f>
        <v/>
      </c>
      <c r="I107">
        <f>IF(Draft_Import!$D107=I$1,COUNTIF(Draft_Import!$D$2:'Draft_Import'!$D107,I$1),"")</f>
        <v/>
      </c>
      <c r="K107">
        <f>IF(Draft_Import!$D107=K$1,COUNTIF(Draft_Import!$D$2:'Draft_Import'!$D107,K$1),"")</f>
        <v/>
      </c>
      <c r="M107">
        <f>IF(Draft_Import!$D107=M$1,COUNTIF(Draft_Import!$D$2:'Draft_Import'!$D107,M$1),"")</f>
        <v/>
      </c>
      <c r="O107">
        <f>IF(Draft_Import!$D107=O$1,COUNTIF(Draft_Import!$D$2:'Draft_Import'!$D107,O$1),"")</f>
        <v/>
      </c>
      <c r="Q107">
        <f>IF(Draft_Import!$D107=Q$1,COUNTIF(Draft_Import!$D$2:'Draft_Import'!$D107,Q$1),"")</f>
        <v/>
      </c>
      <c r="S107">
        <f>IF(Draft_Import!$D107=S$1,COUNTIF(Draft_Import!$D$2:'Draft_Import'!$D107,S$1),"")</f>
        <v/>
      </c>
    </row>
    <row r="108">
      <c r="A108">
        <f>IF(Draft_Import!$D108=A$1,COUNTIF(Draft_Import!$D$2:'Draft_Import'!$D108,A$1),"")</f>
        <v/>
      </c>
      <c r="C108">
        <f>IF(Draft_Import!$D108=C$1,COUNTIF(Draft_Import!$D$2:'Draft_Import'!$D108,C$1),"")</f>
        <v/>
      </c>
      <c r="E108">
        <f>IF(Draft_Import!$D108=E$1,COUNTIF(Draft_Import!$D$2:'Draft_Import'!$D108,E$1),"")</f>
        <v/>
      </c>
      <c r="G108">
        <f>IF(Draft_Import!$D108=G$1,COUNTIF(Draft_Import!$D$2:'Draft_Import'!$D108,G$1),"")</f>
        <v/>
      </c>
      <c r="I108">
        <f>IF(Draft_Import!$D108=I$1,COUNTIF(Draft_Import!$D$2:'Draft_Import'!$D108,I$1),"")</f>
        <v/>
      </c>
      <c r="K108">
        <f>IF(Draft_Import!$D108=K$1,COUNTIF(Draft_Import!$D$2:'Draft_Import'!$D108,K$1),"")</f>
        <v/>
      </c>
      <c r="M108">
        <f>IF(Draft_Import!$D108=M$1,COUNTIF(Draft_Import!$D$2:'Draft_Import'!$D108,M$1),"")</f>
        <v/>
      </c>
      <c r="O108">
        <f>IF(Draft_Import!$D108=O$1,COUNTIF(Draft_Import!$D$2:'Draft_Import'!$D108,O$1),"")</f>
        <v/>
      </c>
      <c r="Q108">
        <f>IF(Draft_Import!$D108=Q$1,COUNTIF(Draft_Import!$D$2:'Draft_Import'!$D108,Q$1),"")</f>
        <v/>
      </c>
      <c r="S108">
        <f>IF(Draft_Import!$D108=S$1,COUNTIF(Draft_Import!$D$2:'Draft_Import'!$D108,S$1),"")</f>
        <v/>
      </c>
    </row>
    <row r="109">
      <c r="A109">
        <f>IF(Draft_Import!$D109=A$1,COUNTIF(Draft_Import!$D$2:'Draft_Import'!$D109,A$1),"")</f>
        <v/>
      </c>
      <c r="C109">
        <f>IF(Draft_Import!$D109=C$1,COUNTIF(Draft_Import!$D$2:'Draft_Import'!$D109,C$1),"")</f>
        <v/>
      </c>
      <c r="E109">
        <f>IF(Draft_Import!$D109=E$1,COUNTIF(Draft_Import!$D$2:'Draft_Import'!$D109,E$1),"")</f>
        <v/>
      </c>
      <c r="G109">
        <f>IF(Draft_Import!$D109=G$1,COUNTIF(Draft_Import!$D$2:'Draft_Import'!$D109,G$1),"")</f>
        <v/>
      </c>
      <c r="I109">
        <f>IF(Draft_Import!$D109=I$1,COUNTIF(Draft_Import!$D$2:'Draft_Import'!$D109,I$1),"")</f>
        <v/>
      </c>
      <c r="K109">
        <f>IF(Draft_Import!$D109=K$1,COUNTIF(Draft_Import!$D$2:'Draft_Import'!$D109,K$1),"")</f>
        <v/>
      </c>
      <c r="M109">
        <f>IF(Draft_Import!$D109=M$1,COUNTIF(Draft_Import!$D$2:'Draft_Import'!$D109,M$1),"")</f>
        <v/>
      </c>
      <c r="O109">
        <f>IF(Draft_Import!$D109=O$1,COUNTIF(Draft_Import!$D$2:'Draft_Import'!$D109,O$1),"")</f>
        <v/>
      </c>
      <c r="Q109">
        <f>IF(Draft_Import!$D109=Q$1,COUNTIF(Draft_Import!$D$2:'Draft_Import'!$D109,Q$1),"")</f>
        <v/>
      </c>
      <c r="S109">
        <f>IF(Draft_Import!$D109=S$1,COUNTIF(Draft_Import!$D$2:'Draft_Import'!$D109,S$1),"")</f>
        <v/>
      </c>
    </row>
    <row r="110">
      <c r="A110">
        <f>IF(Draft_Import!$D110=A$1,COUNTIF(Draft_Import!$D$2:'Draft_Import'!$D110,A$1),"")</f>
        <v/>
      </c>
      <c r="C110">
        <f>IF(Draft_Import!$D110=C$1,COUNTIF(Draft_Import!$D$2:'Draft_Import'!$D110,C$1),"")</f>
        <v/>
      </c>
      <c r="E110">
        <f>IF(Draft_Import!$D110=E$1,COUNTIF(Draft_Import!$D$2:'Draft_Import'!$D110,E$1),"")</f>
        <v/>
      </c>
      <c r="G110">
        <f>IF(Draft_Import!$D110=G$1,COUNTIF(Draft_Import!$D$2:'Draft_Import'!$D110,G$1),"")</f>
        <v/>
      </c>
      <c r="I110">
        <f>IF(Draft_Import!$D110=I$1,COUNTIF(Draft_Import!$D$2:'Draft_Import'!$D110,I$1),"")</f>
        <v/>
      </c>
      <c r="K110">
        <f>IF(Draft_Import!$D110=K$1,COUNTIF(Draft_Import!$D$2:'Draft_Import'!$D110,K$1),"")</f>
        <v/>
      </c>
      <c r="M110">
        <f>IF(Draft_Import!$D110=M$1,COUNTIF(Draft_Import!$D$2:'Draft_Import'!$D110,M$1),"")</f>
        <v/>
      </c>
      <c r="O110">
        <f>IF(Draft_Import!$D110=O$1,COUNTIF(Draft_Import!$D$2:'Draft_Import'!$D110,O$1),"")</f>
        <v/>
      </c>
      <c r="Q110">
        <f>IF(Draft_Import!$D110=Q$1,COUNTIF(Draft_Import!$D$2:'Draft_Import'!$D110,Q$1),"")</f>
        <v/>
      </c>
      <c r="S110">
        <f>IF(Draft_Import!$D110=S$1,COUNTIF(Draft_Import!$D$2:'Draft_Import'!$D110,S$1),"")</f>
        <v/>
      </c>
    </row>
    <row r="111">
      <c r="A111">
        <f>IF(Draft_Import!$D111=A$1,COUNTIF(Draft_Import!$D$2:'Draft_Import'!$D111,A$1),"")</f>
        <v/>
      </c>
      <c r="C111">
        <f>IF(Draft_Import!$D111=C$1,COUNTIF(Draft_Import!$D$2:'Draft_Import'!$D111,C$1),"")</f>
        <v/>
      </c>
      <c r="E111">
        <f>IF(Draft_Import!$D111=E$1,COUNTIF(Draft_Import!$D$2:'Draft_Import'!$D111,E$1),"")</f>
        <v/>
      </c>
      <c r="G111">
        <f>IF(Draft_Import!$D111=G$1,COUNTIF(Draft_Import!$D$2:'Draft_Import'!$D111,G$1),"")</f>
        <v/>
      </c>
      <c r="I111">
        <f>IF(Draft_Import!$D111=I$1,COUNTIF(Draft_Import!$D$2:'Draft_Import'!$D111,I$1),"")</f>
        <v/>
      </c>
      <c r="K111">
        <f>IF(Draft_Import!$D111=K$1,COUNTIF(Draft_Import!$D$2:'Draft_Import'!$D111,K$1),"")</f>
        <v/>
      </c>
      <c r="M111">
        <f>IF(Draft_Import!$D111=M$1,COUNTIF(Draft_Import!$D$2:'Draft_Import'!$D111,M$1),"")</f>
        <v/>
      </c>
      <c r="O111">
        <f>IF(Draft_Import!$D111=O$1,COUNTIF(Draft_Import!$D$2:'Draft_Import'!$D111,O$1),"")</f>
        <v/>
      </c>
      <c r="Q111">
        <f>IF(Draft_Import!$D111=Q$1,COUNTIF(Draft_Import!$D$2:'Draft_Import'!$D111,Q$1),"")</f>
        <v/>
      </c>
      <c r="S111">
        <f>IF(Draft_Import!$D111=S$1,COUNTIF(Draft_Import!$D$2:'Draft_Import'!$D111,S$1),"")</f>
        <v/>
      </c>
    </row>
    <row r="112">
      <c r="A112">
        <f>IF(Draft_Import!$D112=A$1,COUNTIF(Draft_Import!$D$2:'Draft_Import'!$D112,A$1),"")</f>
        <v/>
      </c>
      <c r="C112">
        <f>IF(Draft_Import!$D112=C$1,COUNTIF(Draft_Import!$D$2:'Draft_Import'!$D112,C$1),"")</f>
        <v/>
      </c>
      <c r="E112">
        <f>IF(Draft_Import!$D112=E$1,COUNTIF(Draft_Import!$D$2:'Draft_Import'!$D112,E$1),"")</f>
        <v/>
      </c>
      <c r="G112">
        <f>IF(Draft_Import!$D112=G$1,COUNTIF(Draft_Import!$D$2:'Draft_Import'!$D112,G$1),"")</f>
        <v/>
      </c>
      <c r="I112">
        <f>IF(Draft_Import!$D112=I$1,COUNTIF(Draft_Import!$D$2:'Draft_Import'!$D112,I$1),"")</f>
        <v/>
      </c>
      <c r="K112">
        <f>IF(Draft_Import!$D112=K$1,COUNTIF(Draft_Import!$D$2:'Draft_Import'!$D112,K$1),"")</f>
        <v/>
      </c>
      <c r="M112">
        <f>IF(Draft_Import!$D112=M$1,COUNTIF(Draft_Import!$D$2:'Draft_Import'!$D112,M$1),"")</f>
        <v/>
      </c>
      <c r="O112">
        <f>IF(Draft_Import!$D112=O$1,COUNTIF(Draft_Import!$D$2:'Draft_Import'!$D112,O$1),"")</f>
        <v/>
      </c>
      <c r="Q112">
        <f>IF(Draft_Import!$D112=Q$1,COUNTIF(Draft_Import!$D$2:'Draft_Import'!$D112,Q$1),"")</f>
        <v/>
      </c>
      <c r="S112">
        <f>IF(Draft_Import!$D112=S$1,COUNTIF(Draft_Import!$D$2:'Draft_Import'!$D112,S$1),"")</f>
        <v/>
      </c>
    </row>
    <row r="113">
      <c r="A113">
        <f>IF(Draft_Import!$D113=A$1,COUNTIF(Draft_Import!$D$2:'Draft_Import'!$D113,A$1),"")</f>
        <v/>
      </c>
      <c r="C113">
        <f>IF(Draft_Import!$D113=C$1,COUNTIF(Draft_Import!$D$2:'Draft_Import'!$D113,C$1),"")</f>
        <v/>
      </c>
      <c r="E113">
        <f>IF(Draft_Import!$D113=E$1,COUNTIF(Draft_Import!$D$2:'Draft_Import'!$D113,E$1),"")</f>
        <v/>
      </c>
      <c r="G113">
        <f>IF(Draft_Import!$D113=G$1,COUNTIF(Draft_Import!$D$2:'Draft_Import'!$D113,G$1),"")</f>
        <v/>
      </c>
      <c r="I113">
        <f>IF(Draft_Import!$D113=I$1,COUNTIF(Draft_Import!$D$2:'Draft_Import'!$D113,I$1),"")</f>
        <v/>
      </c>
      <c r="K113">
        <f>IF(Draft_Import!$D113=K$1,COUNTIF(Draft_Import!$D$2:'Draft_Import'!$D113,K$1),"")</f>
        <v/>
      </c>
      <c r="M113">
        <f>IF(Draft_Import!$D113=M$1,COUNTIF(Draft_Import!$D$2:'Draft_Import'!$D113,M$1),"")</f>
        <v/>
      </c>
      <c r="O113">
        <f>IF(Draft_Import!$D113=O$1,COUNTIF(Draft_Import!$D$2:'Draft_Import'!$D113,O$1),"")</f>
        <v/>
      </c>
      <c r="Q113">
        <f>IF(Draft_Import!$D113=Q$1,COUNTIF(Draft_Import!$D$2:'Draft_Import'!$D113,Q$1),"")</f>
        <v/>
      </c>
      <c r="S113">
        <f>IF(Draft_Import!$D113=S$1,COUNTIF(Draft_Import!$D$2:'Draft_Import'!$D113,S$1),"")</f>
        <v/>
      </c>
    </row>
    <row r="114">
      <c r="A114">
        <f>IF(Draft_Import!$D114=A$1,COUNTIF(Draft_Import!$D$2:'Draft_Import'!$D114,A$1),"")</f>
        <v/>
      </c>
      <c r="C114">
        <f>IF(Draft_Import!$D114=C$1,COUNTIF(Draft_Import!$D$2:'Draft_Import'!$D114,C$1),"")</f>
        <v/>
      </c>
      <c r="E114">
        <f>IF(Draft_Import!$D114=E$1,COUNTIF(Draft_Import!$D$2:'Draft_Import'!$D114,E$1),"")</f>
        <v/>
      </c>
      <c r="G114">
        <f>IF(Draft_Import!$D114=G$1,COUNTIF(Draft_Import!$D$2:'Draft_Import'!$D114,G$1),"")</f>
        <v/>
      </c>
      <c r="I114">
        <f>IF(Draft_Import!$D114=I$1,COUNTIF(Draft_Import!$D$2:'Draft_Import'!$D114,I$1),"")</f>
        <v/>
      </c>
      <c r="K114">
        <f>IF(Draft_Import!$D114=K$1,COUNTIF(Draft_Import!$D$2:'Draft_Import'!$D114,K$1),"")</f>
        <v/>
      </c>
      <c r="M114">
        <f>IF(Draft_Import!$D114=M$1,COUNTIF(Draft_Import!$D$2:'Draft_Import'!$D114,M$1),"")</f>
        <v/>
      </c>
      <c r="O114">
        <f>IF(Draft_Import!$D114=O$1,COUNTIF(Draft_Import!$D$2:'Draft_Import'!$D114,O$1),"")</f>
        <v/>
      </c>
      <c r="Q114">
        <f>IF(Draft_Import!$D114=Q$1,COUNTIF(Draft_Import!$D$2:'Draft_Import'!$D114,Q$1),"")</f>
        <v/>
      </c>
      <c r="S114">
        <f>IF(Draft_Import!$D114=S$1,COUNTIF(Draft_Import!$D$2:'Draft_Import'!$D114,S$1),"")</f>
        <v/>
      </c>
    </row>
    <row r="115">
      <c r="A115">
        <f>IF(Draft_Import!$D115=A$1,COUNTIF(Draft_Import!$D$2:'Draft_Import'!$D115,A$1),"")</f>
        <v/>
      </c>
      <c r="C115">
        <f>IF(Draft_Import!$D115=C$1,COUNTIF(Draft_Import!$D$2:'Draft_Import'!$D115,C$1),"")</f>
        <v/>
      </c>
      <c r="E115">
        <f>IF(Draft_Import!$D115=E$1,COUNTIF(Draft_Import!$D$2:'Draft_Import'!$D115,E$1),"")</f>
        <v/>
      </c>
      <c r="G115">
        <f>IF(Draft_Import!$D115=G$1,COUNTIF(Draft_Import!$D$2:'Draft_Import'!$D115,G$1),"")</f>
        <v/>
      </c>
      <c r="I115">
        <f>IF(Draft_Import!$D115=I$1,COUNTIF(Draft_Import!$D$2:'Draft_Import'!$D115,I$1),"")</f>
        <v/>
      </c>
      <c r="K115">
        <f>IF(Draft_Import!$D115=K$1,COUNTIF(Draft_Import!$D$2:'Draft_Import'!$D115,K$1),"")</f>
        <v/>
      </c>
      <c r="M115">
        <f>IF(Draft_Import!$D115=M$1,COUNTIF(Draft_Import!$D$2:'Draft_Import'!$D115,M$1),"")</f>
        <v/>
      </c>
      <c r="O115">
        <f>IF(Draft_Import!$D115=O$1,COUNTIF(Draft_Import!$D$2:'Draft_Import'!$D115,O$1),"")</f>
        <v/>
      </c>
      <c r="Q115">
        <f>IF(Draft_Import!$D115=Q$1,COUNTIF(Draft_Import!$D$2:'Draft_Import'!$D115,Q$1),"")</f>
        <v/>
      </c>
      <c r="S115">
        <f>IF(Draft_Import!$D115=S$1,COUNTIF(Draft_Import!$D$2:'Draft_Import'!$D115,S$1),"")</f>
        <v/>
      </c>
    </row>
    <row r="116">
      <c r="A116">
        <f>IF(Draft_Import!$D116=A$1,COUNTIF(Draft_Import!$D$2:'Draft_Import'!$D116,A$1),"")</f>
        <v/>
      </c>
      <c r="C116">
        <f>IF(Draft_Import!$D116=C$1,COUNTIF(Draft_Import!$D$2:'Draft_Import'!$D116,C$1),"")</f>
        <v/>
      </c>
      <c r="E116">
        <f>IF(Draft_Import!$D116=E$1,COUNTIF(Draft_Import!$D$2:'Draft_Import'!$D116,E$1),"")</f>
        <v/>
      </c>
      <c r="G116">
        <f>IF(Draft_Import!$D116=G$1,COUNTIF(Draft_Import!$D$2:'Draft_Import'!$D116,G$1),"")</f>
        <v/>
      </c>
      <c r="I116">
        <f>IF(Draft_Import!$D116=I$1,COUNTIF(Draft_Import!$D$2:'Draft_Import'!$D116,I$1),"")</f>
        <v/>
      </c>
      <c r="K116">
        <f>IF(Draft_Import!$D116=K$1,COUNTIF(Draft_Import!$D$2:'Draft_Import'!$D116,K$1),"")</f>
        <v/>
      </c>
      <c r="M116">
        <f>IF(Draft_Import!$D116=M$1,COUNTIF(Draft_Import!$D$2:'Draft_Import'!$D116,M$1),"")</f>
        <v/>
      </c>
      <c r="O116">
        <f>IF(Draft_Import!$D116=O$1,COUNTIF(Draft_Import!$D$2:'Draft_Import'!$D116,O$1),"")</f>
        <v/>
      </c>
      <c r="Q116">
        <f>IF(Draft_Import!$D116=Q$1,COUNTIF(Draft_Import!$D$2:'Draft_Import'!$D116,Q$1),"")</f>
        <v/>
      </c>
      <c r="S116">
        <f>IF(Draft_Import!$D116=S$1,COUNTIF(Draft_Import!$D$2:'Draft_Import'!$D116,S$1),"")</f>
        <v/>
      </c>
    </row>
    <row r="117">
      <c r="A117">
        <f>IF(Draft_Import!$D117=A$1,COUNTIF(Draft_Import!$D$2:'Draft_Import'!$D117,A$1),"")</f>
        <v/>
      </c>
      <c r="C117">
        <f>IF(Draft_Import!$D117=C$1,COUNTIF(Draft_Import!$D$2:'Draft_Import'!$D117,C$1),"")</f>
        <v/>
      </c>
      <c r="E117">
        <f>IF(Draft_Import!$D117=E$1,COUNTIF(Draft_Import!$D$2:'Draft_Import'!$D117,E$1),"")</f>
        <v/>
      </c>
      <c r="G117">
        <f>IF(Draft_Import!$D117=G$1,COUNTIF(Draft_Import!$D$2:'Draft_Import'!$D117,G$1),"")</f>
        <v/>
      </c>
      <c r="I117">
        <f>IF(Draft_Import!$D117=I$1,COUNTIF(Draft_Import!$D$2:'Draft_Import'!$D117,I$1),"")</f>
        <v/>
      </c>
      <c r="K117">
        <f>IF(Draft_Import!$D117=K$1,COUNTIF(Draft_Import!$D$2:'Draft_Import'!$D117,K$1),"")</f>
        <v/>
      </c>
      <c r="M117">
        <f>IF(Draft_Import!$D117=M$1,COUNTIF(Draft_Import!$D$2:'Draft_Import'!$D117,M$1),"")</f>
        <v/>
      </c>
      <c r="O117">
        <f>IF(Draft_Import!$D117=O$1,COUNTIF(Draft_Import!$D$2:'Draft_Import'!$D117,O$1),"")</f>
        <v/>
      </c>
      <c r="Q117">
        <f>IF(Draft_Import!$D117=Q$1,COUNTIF(Draft_Import!$D$2:'Draft_Import'!$D117,Q$1),"")</f>
        <v/>
      </c>
      <c r="S117">
        <f>IF(Draft_Import!$D117=S$1,COUNTIF(Draft_Import!$D$2:'Draft_Import'!$D117,S$1),"")</f>
        <v/>
      </c>
    </row>
    <row r="118">
      <c r="A118">
        <f>IF(Draft_Import!$D118=A$1,COUNTIF(Draft_Import!$D$2:'Draft_Import'!$D118,A$1),"")</f>
        <v/>
      </c>
      <c r="C118">
        <f>IF(Draft_Import!$D118=C$1,COUNTIF(Draft_Import!$D$2:'Draft_Import'!$D118,C$1),"")</f>
        <v/>
      </c>
      <c r="E118">
        <f>IF(Draft_Import!$D118=E$1,COUNTIF(Draft_Import!$D$2:'Draft_Import'!$D118,E$1),"")</f>
        <v/>
      </c>
      <c r="G118">
        <f>IF(Draft_Import!$D118=G$1,COUNTIF(Draft_Import!$D$2:'Draft_Import'!$D118,G$1),"")</f>
        <v/>
      </c>
      <c r="I118">
        <f>IF(Draft_Import!$D118=I$1,COUNTIF(Draft_Import!$D$2:'Draft_Import'!$D118,I$1),"")</f>
        <v/>
      </c>
      <c r="K118">
        <f>IF(Draft_Import!$D118=K$1,COUNTIF(Draft_Import!$D$2:'Draft_Import'!$D118,K$1),"")</f>
        <v/>
      </c>
      <c r="M118">
        <f>IF(Draft_Import!$D118=M$1,COUNTIF(Draft_Import!$D$2:'Draft_Import'!$D118,M$1),"")</f>
        <v/>
      </c>
      <c r="O118">
        <f>IF(Draft_Import!$D118=O$1,COUNTIF(Draft_Import!$D$2:'Draft_Import'!$D118,O$1),"")</f>
        <v/>
      </c>
      <c r="Q118">
        <f>IF(Draft_Import!$D118=Q$1,COUNTIF(Draft_Import!$D$2:'Draft_Import'!$D118,Q$1),"")</f>
        <v/>
      </c>
      <c r="S118">
        <f>IF(Draft_Import!$D118=S$1,COUNTIF(Draft_Import!$D$2:'Draft_Import'!$D118,S$1),"")</f>
        <v/>
      </c>
    </row>
    <row r="119">
      <c r="A119">
        <f>IF(Draft_Import!$D119=A$1,COUNTIF(Draft_Import!$D$2:'Draft_Import'!$D119,A$1),"")</f>
        <v/>
      </c>
      <c r="C119">
        <f>IF(Draft_Import!$D119=C$1,COUNTIF(Draft_Import!$D$2:'Draft_Import'!$D119,C$1),"")</f>
        <v/>
      </c>
      <c r="E119">
        <f>IF(Draft_Import!$D119=E$1,COUNTIF(Draft_Import!$D$2:'Draft_Import'!$D119,E$1),"")</f>
        <v/>
      </c>
      <c r="G119">
        <f>IF(Draft_Import!$D119=G$1,COUNTIF(Draft_Import!$D$2:'Draft_Import'!$D119,G$1),"")</f>
        <v/>
      </c>
      <c r="I119">
        <f>IF(Draft_Import!$D119=I$1,COUNTIF(Draft_Import!$D$2:'Draft_Import'!$D119,I$1),"")</f>
        <v/>
      </c>
      <c r="K119">
        <f>IF(Draft_Import!$D119=K$1,COUNTIF(Draft_Import!$D$2:'Draft_Import'!$D119,K$1),"")</f>
        <v/>
      </c>
      <c r="M119">
        <f>IF(Draft_Import!$D119=M$1,COUNTIF(Draft_Import!$D$2:'Draft_Import'!$D119,M$1),"")</f>
        <v/>
      </c>
      <c r="O119">
        <f>IF(Draft_Import!$D119=O$1,COUNTIF(Draft_Import!$D$2:'Draft_Import'!$D119,O$1),"")</f>
        <v/>
      </c>
      <c r="Q119">
        <f>IF(Draft_Import!$D119=Q$1,COUNTIF(Draft_Import!$D$2:'Draft_Import'!$D119,Q$1),"")</f>
        <v/>
      </c>
      <c r="S119">
        <f>IF(Draft_Import!$D119=S$1,COUNTIF(Draft_Import!$D$2:'Draft_Import'!$D119,S$1),"")</f>
        <v/>
      </c>
    </row>
    <row r="120">
      <c r="A120">
        <f>IF(Draft_Import!$D120=A$1,COUNTIF(Draft_Import!$D$2:'Draft_Import'!$D120,A$1),"")</f>
        <v/>
      </c>
      <c r="C120">
        <f>IF(Draft_Import!$D120=C$1,COUNTIF(Draft_Import!$D$2:'Draft_Import'!$D120,C$1),"")</f>
        <v/>
      </c>
      <c r="E120">
        <f>IF(Draft_Import!$D120=E$1,COUNTIF(Draft_Import!$D$2:'Draft_Import'!$D120,E$1),"")</f>
        <v/>
      </c>
      <c r="G120">
        <f>IF(Draft_Import!$D120=G$1,COUNTIF(Draft_Import!$D$2:'Draft_Import'!$D120,G$1),"")</f>
        <v/>
      </c>
      <c r="I120">
        <f>IF(Draft_Import!$D120=I$1,COUNTIF(Draft_Import!$D$2:'Draft_Import'!$D120,I$1),"")</f>
        <v/>
      </c>
      <c r="K120">
        <f>IF(Draft_Import!$D120=K$1,COUNTIF(Draft_Import!$D$2:'Draft_Import'!$D120,K$1),"")</f>
        <v/>
      </c>
      <c r="M120">
        <f>IF(Draft_Import!$D120=M$1,COUNTIF(Draft_Import!$D$2:'Draft_Import'!$D120,M$1),"")</f>
        <v/>
      </c>
      <c r="O120">
        <f>IF(Draft_Import!$D120=O$1,COUNTIF(Draft_Import!$D$2:'Draft_Import'!$D120,O$1),"")</f>
        <v/>
      </c>
      <c r="Q120">
        <f>IF(Draft_Import!$D120=Q$1,COUNTIF(Draft_Import!$D$2:'Draft_Import'!$D120,Q$1),"")</f>
        <v/>
      </c>
      <c r="S120">
        <f>IF(Draft_Import!$D120=S$1,COUNTIF(Draft_Import!$D$2:'Draft_Import'!$D120,S$1),"")</f>
        <v/>
      </c>
    </row>
    <row r="121">
      <c r="A121">
        <f>IF(Draft_Import!$D121=A$1,COUNTIF(Draft_Import!$D$2:'Draft_Import'!$D121,A$1),"")</f>
        <v/>
      </c>
      <c r="C121">
        <f>IF(Draft_Import!$D121=C$1,COUNTIF(Draft_Import!$D$2:'Draft_Import'!$D121,C$1),"")</f>
        <v/>
      </c>
      <c r="E121">
        <f>IF(Draft_Import!$D121=E$1,COUNTIF(Draft_Import!$D$2:'Draft_Import'!$D121,E$1),"")</f>
        <v/>
      </c>
      <c r="G121">
        <f>IF(Draft_Import!$D121=G$1,COUNTIF(Draft_Import!$D$2:'Draft_Import'!$D121,G$1),"")</f>
        <v/>
      </c>
      <c r="I121">
        <f>IF(Draft_Import!$D121=I$1,COUNTIF(Draft_Import!$D$2:'Draft_Import'!$D121,I$1),"")</f>
        <v/>
      </c>
      <c r="K121">
        <f>IF(Draft_Import!$D121=K$1,COUNTIF(Draft_Import!$D$2:'Draft_Import'!$D121,K$1),"")</f>
        <v/>
      </c>
      <c r="M121">
        <f>IF(Draft_Import!$D121=M$1,COUNTIF(Draft_Import!$D$2:'Draft_Import'!$D121,M$1),"")</f>
        <v/>
      </c>
      <c r="O121">
        <f>IF(Draft_Import!$D121=O$1,COUNTIF(Draft_Import!$D$2:'Draft_Import'!$D121,O$1),"")</f>
        <v/>
      </c>
      <c r="Q121">
        <f>IF(Draft_Import!$D121=Q$1,COUNTIF(Draft_Import!$D$2:'Draft_Import'!$D121,Q$1),"")</f>
        <v/>
      </c>
      <c r="S121">
        <f>IF(Draft_Import!$D121=S$1,COUNTIF(Draft_Import!$D$2:'Draft_Import'!$D121,S$1),"")</f>
        <v/>
      </c>
    </row>
    <row r="122">
      <c r="A122">
        <f>IF(Draft_Import!$D122=A$1,COUNTIF(Draft_Import!$D$2:'Draft_Import'!$D122,A$1),"")</f>
        <v/>
      </c>
      <c r="C122">
        <f>IF(Draft_Import!$D122=C$1,COUNTIF(Draft_Import!$D$2:'Draft_Import'!$D122,C$1),"")</f>
        <v/>
      </c>
      <c r="E122">
        <f>IF(Draft_Import!$D122=E$1,COUNTIF(Draft_Import!$D$2:'Draft_Import'!$D122,E$1),"")</f>
        <v/>
      </c>
      <c r="G122">
        <f>IF(Draft_Import!$D122=G$1,COUNTIF(Draft_Import!$D$2:'Draft_Import'!$D122,G$1),"")</f>
        <v/>
      </c>
      <c r="I122">
        <f>IF(Draft_Import!$D122=I$1,COUNTIF(Draft_Import!$D$2:'Draft_Import'!$D122,I$1),"")</f>
        <v/>
      </c>
      <c r="K122">
        <f>IF(Draft_Import!$D122=K$1,COUNTIF(Draft_Import!$D$2:'Draft_Import'!$D122,K$1),"")</f>
        <v/>
      </c>
      <c r="M122">
        <f>IF(Draft_Import!$D122=M$1,COUNTIF(Draft_Import!$D$2:'Draft_Import'!$D122,M$1),"")</f>
        <v/>
      </c>
      <c r="O122">
        <f>IF(Draft_Import!$D122=O$1,COUNTIF(Draft_Import!$D$2:'Draft_Import'!$D122,O$1),"")</f>
        <v/>
      </c>
      <c r="Q122">
        <f>IF(Draft_Import!$D122=Q$1,COUNTIF(Draft_Import!$D$2:'Draft_Import'!$D122,Q$1),"")</f>
        <v/>
      </c>
      <c r="S122">
        <f>IF(Draft_Import!$D122=S$1,COUNTIF(Draft_Import!$D$2:'Draft_Import'!$D122,S$1),"")</f>
        <v/>
      </c>
    </row>
    <row r="123">
      <c r="A123">
        <f>IF(Draft_Import!$D123=A$1,COUNTIF(Draft_Import!$D$2:'Draft_Import'!$D123,A$1),"")</f>
        <v/>
      </c>
      <c r="C123">
        <f>IF(Draft_Import!$D123=C$1,COUNTIF(Draft_Import!$D$2:'Draft_Import'!$D123,C$1),"")</f>
        <v/>
      </c>
      <c r="E123">
        <f>IF(Draft_Import!$D123=E$1,COUNTIF(Draft_Import!$D$2:'Draft_Import'!$D123,E$1),"")</f>
        <v/>
      </c>
      <c r="G123">
        <f>IF(Draft_Import!$D123=G$1,COUNTIF(Draft_Import!$D$2:'Draft_Import'!$D123,G$1),"")</f>
        <v/>
      </c>
      <c r="I123">
        <f>IF(Draft_Import!$D123=I$1,COUNTIF(Draft_Import!$D$2:'Draft_Import'!$D123,I$1),"")</f>
        <v/>
      </c>
      <c r="K123">
        <f>IF(Draft_Import!$D123=K$1,COUNTIF(Draft_Import!$D$2:'Draft_Import'!$D123,K$1),"")</f>
        <v/>
      </c>
      <c r="M123">
        <f>IF(Draft_Import!$D123=M$1,COUNTIF(Draft_Import!$D$2:'Draft_Import'!$D123,M$1),"")</f>
        <v/>
      </c>
      <c r="O123">
        <f>IF(Draft_Import!$D123=O$1,COUNTIF(Draft_Import!$D$2:'Draft_Import'!$D123,O$1),"")</f>
        <v/>
      </c>
      <c r="Q123">
        <f>IF(Draft_Import!$D123=Q$1,COUNTIF(Draft_Import!$D$2:'Draft_Import'!$D123,Q$1),"")</f>
        <v/>
      </c>
      <c r="S123">
        <f>IF(Draft_Import!$D123=S$1,COUNTIF(Draft_Import!$D$2:'Draft_Import'!$D123,S$1),"")</f>
        <v/>
      </c>
    </row>
    <row r="124">
      <c r="A124">
        <f>IF(Draft_Import!$D124=A$1,COUNTIF(Draft_Import!$D$2:'Draft_Import'!$D124,A$1),"")</f>
        <v/>
      </c>
      <c r="C124">
        <f>IF(Draft_Import!$D124=C$1,COUNTIF(Draft_Import!$D$2:'Draft_Import'!$D124,C$1),"")</f>
        <v/>
      </c>
      <c r="E124">
        <f>IF(Draft_Import!$D124=E$1,COUNTIF(Draft_Import!$D$2:'Draft_Import'!$D124,E$1),"")</f>
        <v/>
      </c>
      <c r="G124">
        <f>IF(Draft_Import!$D124=G$1,COUNTIF(Draft_Import!$D$2:'Draft_Import'!$D124,G$1),"")</f>
        <v/>
      </c>
      <c r="I124">
        <f>IF(Draft_Import!$D124=I$1,COUNTIF(Draft_Import!$D$2:'Draft_Import'!$D124,I$1),"")</f>
        <v/>
      </c>
      <c r="K124">
        <f>IF(Draft_Import!$D124=K$1,COUNTIF(Draft_Import!$D$2:'Draft_Import'!$D124,K$1),"")</f>
        <v/>
      </c>
      <c r="M124">
        <f>IF(Draft_Import!$D124=M$1,COUNTIF(Draft_Import!$D$2:'Draft_Import'!$D124,M$1),"")</f>
        <v/>
      </c>
      <c r="O124">
        <f>IF(Draft_Import!$D124=O$1,COUNTIF(Draft_Import!$D$2:'Draft_Import'!$D124,O$1),"")</f>
        <v/>
      </c>
      <c r="Q124">
        <f>IF(Draft_Import!$D124=Q$1,COUNTIF(Draft_Import!$D$2:'Draft_Import'!$D124,Q$1),"")</f>
        <v/>
      </c>
      <c r="S124">
        <f>IF(Draft_Import!$D124=S$1,COUNTIF(Draft_Import!$D$2:'Draft_Import'!$D124,S$1),"")</f>
        <v/>
      </c>
    </row>
    <row r="125">
      <c r="A125">
        <f>IF(Draft_Import!$D125=A$1,COUNTIF(Draft_Import!$D$2:'Draft_Import'!$D125,A$1),"")</f>
        <v/>
      </c>
      <c r="C125">
        <f>IF(Draft_Import!$D125=C$1,COUNTIF(Draft_Import!$D$2:'Draft_Import'!$D125,C$1),"")</f>
        <v/>
      </c>
      <c r="E125">
        <f>IF(Draft_Import!$D125=E$1,COUNTIF(Draft_Import!$D$2:'Draft_Import'!$D125,E$1),"")</f>
        <v/>
      </c>
      <c r="G125">
        <f>IF(Draft_Import!$D125=G$1,COUNTIF(Draft_Import!$D$2:'Draft_Import'!$D125,G$1),"")</f>
        <v/>
      </c>
      <c r="I125">
        <f>IF(Draft_Import!$D125=I$1,COUNTIF(Draft_Import!$D$2:'Draft_Import'!$D125,I$1),"")</f>
        <v/>
      </c>
      <c r="K125">
        <f>IF(Draft_Import!$D125=K$1,COUNTIF(Draft_Import!$D$2:'Draft_Import'!$D125,K$1),"")</f>
        <v/>
      </c>
      <c r="M125">
        <f>IF(Draft_Import!$D125=M$1,COUNTIF(Draft_Import!$D$2:'Draft_Import'!$D125,M$1),"")</f>
        <v/>
      </c>
      <c r="O125">
        <f>IF(Draft_Import!$D125=O$1,COUNTIF(Draft_Import!$D$2:'Draft_Import'!$D125,O$1),"")</f>
        <v/>
      </c>
      <c r="Q125">
        <f>IF(Draft_Import!$D125=Q$1,COUNTIF(Draft_Import!$D$2:'Draft_Import'!$D125,Q$1),"")</f>
        <v/>
      </c>
      <c r="S125">
        <f>IF(Draft_Import!$D125=S$1,COUNTIF(Draft_Import!$D$2:'Draft_Import'!$D125,S$1),"")</f>
        <v/>
      </c>
    </row>
    <row r="126">
      <c r="A126">
        <f>IF(Draft_Import!$D126=A$1,COUNTIF(Draft_Import!$D$2:'Draft_Import'!$D126,A$1),"")</f>
        <v/>
      </c>
      <c r="C126">
        <f>IF(Draft_Import!$D126=C$1,COUNTIF(Draft_Import!$D$2:'Draft_Import'!$D126,C$1),"")</f>
        <v/>
      </c>
      <c r="E126">
        <f>IF(Draft_Import!$D126=E$1,COUNTIF(Draft_Import!$D$2:'Draft_Import'!$D126,E$1),"")</f>
        <v/>
      </c>
      <c r="G126">
        <f>IF(Draft_Import!$D126=G$1,COUNTIF(Draft_Import!$D$2:'Draft_Import'!$D126,G$1),"")</f>
        <v/>
      </c>
      <c r="I126">
        <f>IF(Draft_Import!$D126=I$1,COUNTIF(Draft_Import!$D$2:'Draft_Import'!$D126,I$1),"")</f>
        <v/>
      </c>
      <c r="K126">
        <f>IF(Draft_Import!$D126=K$1,COUNTIF(Draft_Import!$D$2:'Draft_Import'!$D126,K$1),"")</f>
        <v/>
      </c>
      <c r="M126">
        <f>IF(Draft_Import!$D126=M$1,COUNTIF(Draft_Import!$D$2:'Draft_Import'!$D126,M$1),"")</f>
        <v/>
      </c>
      <c r="O126">
        <f>IF(Draft_Import!$D126=O$1,COUNTIF(Draft_Import!$D$2:'Draft_Import'!$D126,O$1),"")</f>
        <v/>
      </c>
      <c r="Q126">
        <f>IF(Draft_Import!$D126=Q$1,COUNTIF(Draft_Import!$D$2:'Draft_Import'!$D126,Q$1),"")</f>
        <v/>
      </c>
      <c r="S126">
        <f>IF(Draft_Import!$D126=S$1,COUNTIF(Draft_Import!$D$2:'Draft_Import'!$D126,S$1),"")</f>
        <v/>
      </c>
    </row>
    <row r="127">
      <c r="A127">
        <f>IF(Draft_Import!$D127=A$1,COUNTIF(Draft_Import!$D$2:'Draft_Import'!$D127,A$1),"")</f>
        <v/>
      </c>
      <c r="C127">
        <f>IF(Draft_Import!$D127=C$1,COUNTIF(Draft_Import!$D$2:'Draft_Import'!$D127,C$1),"")</f>
        <v/>
      </c>
      <c r="E127">
        <f>IF(Draft_Import!$D127=E$1,COUNTIF(Draft_Import!$D$2:'Draft_Import'!$D127,E$1),"")</f>
        <v/>
      </c>
      <c r="G127">
        <f>IF(Draft_Import!$D127=G$1,COUNTIF(Draft_Import!$D$2:'Draft_Import'!$D127,G$1),"")</f>
        <v/>
      </c>
      <c r="I127">
        <f>IF(Draft_Import!$D127=I$1,COUNTIF(Draft_Import!$D$2:'Draft_Import'!$D127,I$1),"")</f>
        <v/>
      </c>
      <c r="K127">
        <f>IF(Draft_Import!$D127=K$1,COUNTIF(Draft_Import!$D$2:'Draft_Import'!$D127,K$1),"")</f>
        <v/>
      </c>
      <c r="M127">
        <f>IF(Draft_Import!$D127=M$1,COUNTIF(Draft_Import!$D$2:'Draft_Import'!$D127,M$1),"")</f>
        <v/>
      </c>
      <c r="O127">
        <f>IF(Draft_Import!$D127=O$1,COUNTIF(Draft_Import!$D$2:'Draft_Import'!$D127,O$1),"")</f>
        <v/>
      </c>
      <c r="Q127">
        <f>IF(Draft_Import!$D127=Q$1,COUNTIF(Draft_Import!$D$2:'Draft_Import'!$D127,Q$1),"")</f>
        <v/>
      </c>
      <c r="S127">
        <f>IF(Draft_Import!$D127=S$1,COUNTIF(Draft_Import!$D$2:'Draft_Import'!$D127,S$1),"")</f>
        <v/>
      </c>
    </row>
    <row r="128">
      <c r="A128">
        <f>IF(Draft_Import!$D128=A$1,COUNTIF(Draft_Import!$D$2:'Draft_Import'!$D128,A$1),"")</f>
        <v/>
      </c>
      <c r="C128">
        <f>IF(Draft_Import!$D128=C$1,COUNTIF(Draft_Import!$D$2:'Draft_Import'!$D128,C$1),"")</f>
        <v/>
      </c>
      <c r="E128">
        <f>IF(Draft_Import!$D128=E$1,COUNTIF(Draft_Import!$D$2:'Draft_Import'!$D128,E$1),"")</f>
        <v/>
      </c>
      <c r="G128">
        <f>IF(Draft_Import!$D128=G$1,COUNTIF(Draft_Import!$D$2:'Draft_Import'!$D128,G$1),"")</f>
        <v/>
      </c>
      <c r="I128">
        <f>IF(Draft_Import!$D128=I$1,COUNTIF(Draft_Import!$D$2:'Draft_Import'!$D128,I$1),"")</f>
        <v/>
      </c>
      <c r="K128">
        <f>IF(Draft_Import!$D128=K$1,COUNTIF(Draft_Import!$D$2:'Draft_Import'!$D128,K$1),"")</f>
        <v/>
      </c>
      <c r="M128">
        <f>IF(Draft_Import!$D128=M$1,COUNTIF(Draft_Import!$D$2:'Draft_Import'!$D128,M$1),"")</f>
        <v/>
      </c>
      <c r="O128">
        <f>IF(Draft_Import!$D128=O$1,COUNTIF(Draft_Import!$D$2:'Draft_Import'!$D128,O$1),"")</f>
        <v/>
      </c>
      <c r="Q128">
        <f>IF(Draft_Import!$D128=Q$1,COUNTIF(Draft_Import!$D$2:'Draft_Import'!$D128,Q$1),"")</f>
        <v/>
      </c>
      <c r="S128">
        <f>IF(Draft_Import!$D128=S$1,COUNTIF(Draft_Import!$D$2:'Draft_Import'!$D128,S$1),"")</f>
        <v/>
      </c>
    </row>
    <row r="129">
      <c r="A129">
        <f>IF(Draft_Import!$D129=A$1,COUNTIF(Draft_Import!$D$2:'Draft_Import'!$D129,A$1),"")</f>
        <v/>
      </c>
      <c r="C129">
        <f>IF(Draft_Import!$D129=C$1,COUNTIF(Draft_Import!$D$2:'Draft_Import'!$D129,C$1),"")</f>
        <v/>
      </c>
      <c r="E129">
        <f>IF(Draft_Import!$D129=E$1,COUNTIF(Draft_Import!$D$2:'Draft_Import'!$D129,E$1),"")</f>
        <v/>
      </c>
      <c r="G129">
        <f>IF(Draft_Import!$D129=G$1,COUNTIF(Draft_Import!$D$2:'Draft_Import'!$D129,G$1),"")</f>
        <v/>
      </c>
      <c r="I129">
        <f>IF(Draft_Import!$D129=I$1,COUNTIF(Draft_Import!$D$2:'Draft_Import'!$D129,I$1),"")</f>
        <v/>
      </c>
      <c r="K129">
        <f>IF(Draft_Import!$D129=K$1,COUNTIF(Draft_Import!$D$2:'Draft_Import'!$D129,K$1),"")</f>
        <v/>
      </c>
      <c r="M129">
        <f>IF(Draft_Import!$D129=M$1,COUNTIF(Draft_Import!$D$2:'Draft_Import'!$D129,M$1),"")</f>
        <v/>
      </c>
      <c r="O129">
        <f>IF(Draft_Import!$D129=O$1,COUNTIF(Draft_Import!$D$2:'Draft_Import'!$D129,O$1),"")</f>
        <v/>
      </c>
      <c r="Q129">
        <f>IF(Draft_Import!$D129=Q$1,COUNTIF(Draft_Import!$D$2:'Draft_Import'!$D129,Q$1),"")</f>
        <v/>
      </c>
      <c r="S129">
        <f>IF(Draft_Import!$D129=S$1,COUNTIF(Draft_Import!$D$2:'Draft_Import'!$D129,S$1),"")</f>
        <v/>
      </c>
    </row>
    <row r="130">
      <c r="A130">
        <f>IF(Draft_Import!$D130=A$1,COUNTIF(Draft_Import!$D$2:'Draft_Import'!$D130,A$1),"")</f>
        <v/>
      </c>
      <c r="C130">
        <f>IF(Draft_Import!$D130=C$1,COUNTIF(Draft_Import!$D$2:'Draft_Import'!$D130,C$1),"")</f>
        <v/>
      </c>
      <c r="E130">
        <f>IF(Draft_Import!$D130=E$1,COUNTIF(Draft_Import!$D$2:'Draft_Import'!$D130,E$1),"")</f>
        <v/>
      </c>
      <c r="G130">
        <f>IF(Draft_Import!$D130=G$1,COUNTIF(Draft_Import!$D$2:'Draft_Import'!$D130,G$1),"")</f>
        <v/>
      </c>
      <c r="I130">
        <f>IF(Draft_Import!$D130=I$1,COUNTIF(Draft_Import!$D$2:'Draft_Import'!$D130,I$1),"")</f>
        <v/>
      </c>
      <c r="K130">
        <f>IF(Draft_Import!$D130=K$1,COUNTIF(Draft_Import!$D$2:'Draft_Import'!$D130,K$1),"")</f>
        <v/>
      </c>
      <c r="M130">
        <f>IF(Draft_Import!$D130=M$1,COUNTIF(Draft_Import!$D$2:'Draft_Import'!$D130,M$1),"")</f>
        <v/>
      </c>
      <c r="O130">
        <f>IF(Draft_Import!$D130=O$1,COUNTIF(Draft_Import!$D$2:'Draft_Import'!$D130,O$1),"")</f>
        <v/>
      </c>
      <c r="Q130">
        <f>IF(Draft_Import!$D130=Q$1,COUNTIF(Draft_Import!$D$2:'Draft_Import'!$D130,Q$1),"")</f>
        <v/>
      </c>
      <c r="S130">
        <f>IF(Draft_Import!$D130=S$1,COUNTIF(Draft_Import!$D$2:'Draft_Import'!$D130,S$1),"")</f>
        <v/>
      </c>
    </row>
    <row r="131">
      <c r="A131">
        <f>IF(Draft_Import!$D131=A$1,COUNTIF(Draft_Import!$D$2:'Draft_Import'!$D131,A$1),"")</f>
        <v/>
      </c>
      <c r="C131">
        <f>IF(Draft_Import!$D131=C$1,COUNTIF(Draft_Import!$D$2:'Draft_Import'!$D131,C$1),"")</f>
        <v/>
      </c>
      <c r="E131">
        <f>IF(Draft_Import!$D131=E$1,COUNTIF(Draft_Import!$D$2:'Draft_Import'!$D131,E$1),"")</f>
        <v/>
      </c>
      <c r="G131">
        <f>IF(Draft_Import!$D131=G$1,COUNTIF(Draft_Import!$D$2:'Draft_Import'!$D131,G$1),"")</f>
        <v/>
      </c>
      <c r="I131">
        <f>IF(Draft_Import!$D131=I$1,COUNTIF(Draft_Import!$D$2:'Draft_Import'!$D131,I$1),"")</f>
        <v/>
      </c>
      <c r="K131">
        <f>IF(Draft_Import!$D131=K$1,COUNTIF(Draft_Import!$D$2:'Draft_Import'!$D131,K$1),"")</f>
        <v/>
      </c>
      <c r="M131">
        <f>IF(Draft_Import!$D131=M$1,COUNTIF(Draft_Import!$D$2:'Draft_Import'!$D131,M$1),"")</f>
        <v/>
      </c>
      <c r="O131">
        <f>IF(Draft_Import!$D131=O$1,COUNTIF(Draft_Import!$D$2:'Draft_Import'!$D131,O$1),"")</f>
        <v/>
      </c>
      <c r="Q131">
        <f>IF(Draft_Import!$D131=Q$1,COUNTIF(Draft_Import!$D$2:'Draft_Import'!$D131,Q$1),"")</f>
        <v/>
      </c>
      <c r="S131">
        <f>IF(Draft_Import!$D131=S$1,COUNTIF(Draft_Import!$D$2:'Draft_Import'!$D131,S$1),"")</f>
        <v/>
      </c>
    </row>
    <row r="132">
      <c r="A132">
        <f>IF(Draft_Import!$D132=A$1,COUNTIF(Draft_Import!$D$2:'Draft_Import'!$D132,A$1),"")</f>
        <v/>
      </c>
      <c r="C132">
        <f>IF(Draft_Import!$D132=C$1,COUNTIF(Draft_Import!$D$2:'Draft_Import'!$D132,C$1),"")</f>
        <v/>
      </c>
      <c r="E132">
        <f>IF(Draft_Import!$D132=E$1,COUNTIF(Draft_Import!$D$2:'Draft_Import'!$D132,E$1),"")</f>
        <v/>
      </c>
      <c r="G132">
        <f>IF(Draft_Import!$D132=G$1,COUNTIF(Draft_Import!$D$2:'Draft_Import'!$D132,G$1),"")</f>
        <v/>
      </c>
      <c r="I132">
        <f>IF(Draft_Import!$D132=I$1,COUNTIF(Draft_Import!$D$2:'Draft_Import'!$D132,I$1),"")</f>
        <v/>
      </c>
      <c r="K132">
        <f>IF(Draft_Import!$D132=K$1,COUNTIF(Draft_Import!$D$2:'Draft_Import'!$D132,K$1),"")</f>
        <v/>
      </c>
      <c r="M132">
        <f>IF(Draft_Import!$D132=M$1,COUNTIF(Draft_Import!$D$2:'Draft_Import'!$D132,M$1),"")</f>
        <v/>
      </c>
      <c r="O132">
        <f>IF(Draft_Import!$D132=O$1,COUNTIF(Draft_Import!$D$2:'Draft_Import'!$D132,O$1),"")</f>
        <v/>
      </c>
      <c r="Q132">
        <f>IF(Draft_Import!$D132=Q$1,COUNTIF(Draft_Import!$D$2:'Draft_Import'!$D132,Q$1),"")</f>
        <v/>
      </c>
      <c r="S132">
        <f>IF(Draft_Import!$D132=S$1,COUNTIF(Draft_Import!$D$2:'Draft_Import'!$D132,S$1),"")</f>
        <v/>
      </c>
    </row>
    <row r="133">
      <c r="A133">
        <f>IF(Draft_Import!$D133=A$1,COUNTIF(Draft_Import!$D$2:'Draft_Import'!$D133,A$1),"")</f>
        <v/>
      </c>
      <c r="C133">
        <f>IF(Draft_Import!$D133=C$1,COUNTIF(Draft_Import!$D$2:'Draft_Import'!$D133,C$1),"")</f>
        <v/>
      </c>
      <c r="E133">
        <f>IF(Draft_Import!$D133=E$1,COUNTIF(Draft_Import!$D$2:'Draft_Import'!$D133,E$1),"")</f>
        <v/>
      </c>
      <c r="G133">
        <f>IF(Draft_Import!$D133=G$1,COUNTIF(Draft_Import!$D$2:'Draft_Import'!$D133,G$1),"")</f>
        <v/>
      </c>
      <c r="I133">
        <f>IF(Draft_Import!$D133=I$1,COUNTIF(Draft_Import!$D$2:'Draft_Import'!$D133,I$1),"")</f>
        <v/>
      </c>
      <c r="K133">
        <f>IF(Draft_Import!$D133=K$1,COUNTIF(Draft_Import!$D$2:'Draft_Import'!$D133,K$1),"")</f>
        <v/>
      </c>
      <c r="M133">
        <f>IF(Draft_Import!$D133=M$1,COUNTIF(Draft_Import!$D$2:'Draft_Import'!$D133,M$1),"")</f>
        <v/>
      </c>
      <c r="O133">
        <f>IF(Draft_Import!$D133=O$1,COUNTIF(Draft_Import!$D$2:'Draft_Import'!$D133,O$1),"")</f>
        <v/>
      </c>
      <c r="Q133">
        <f>IF(Draft_Import!$D133=Q$1,COUNTIF(Draft_Import!$D$2:'Draft_Import'!$D133,Q$1),"")</f>
        <v/>
      </c>
      <c r="S133">
        <f>IF(Draft_Import!$D133=S$1,COUNTIF(Draft_Import!$D$2:'Draft_Import'!$D133,S$1),"")</f>
        <v/>
      </c>
    </row>
    <row r="134">
      <c r="A134">
        <f>IF(Draft_Import!$D134=A$1,COUNTIF(Draft_Import!$D$2:'Draft_Import'!$D134,A$1),"")</f>
        <v/>
      </c>
      <c r="C134">
        <f>IF(Draft_Import!$D134=C$1,COUNTIF(Draft_Import!$D$2:'Draft_Import'!$D134,C$1),"")</f>
        <v/>
      </c>
      <c r="E134">
        <f>IF(Draft_Import!$D134=E$1,COUNTIF(Draft_Import!$D$2:'Draft_Import'!$D134,E$1),"")</f>
        <v/>
      </c>
      <c r="G134">
        <f>IF(Draft_Import!$D134=G$1,COUNTIF(Draft_Import!$D$2:'Draft_Import'!$D134,G$1),"")</f>
        <v/>
      </c>
      <c r="I134">
        <f>IF(Draft_Import!$D134=I$1,COUNTIF(Draft_Import!$D$2:'Draft_Import'!$D134,I$1),"")</f>
        <v/>
      </c>
      <c r="K134">
        <f>IF(Draft_Import!$D134=K$1,COUNTIF(Draft_Import!$D$2:'Draft_Import'!$D134,K$1),"")</f>
        <v/>
      </c>
      <c r="M134">
        <f>IF(Draft_Import!$D134=M$1,COUNTIF(Draft_Import!$D$2:'Draft_Import'!$D134,M$1),"")</f>
        <v/>
      </c>
      <c r="O134">
        <f>IF(Draft_Import!$D134=O$1,COUNTIF(Draft_Import!$D$2:'Draft_Import'!$D134,O$1),"")</f>
        <v/>
      </c>
      <c r="Q134">
        <f>IF(Draft_Import!$D134=Q$1,COUNTIF(Draft_Import!$D$2:'Draft_Import'!$D134,Q$1),"")</f>
        <v/>
      </c>
      <c r="S134">
        <f>IF(Draft_Import!$D134=S$1,COUNTIF(Draft_Import!$D$2:'Draft_Import'!$D134,S$1),"")</f>
        <v/>
      </c>
    </row>
    <row r="135">
      <c r="A135">
        <f>IF(Draft_Import!$D135=A$1,COUNTIF(Draft_Import!$D$2:'Draft_Import'!$D135,A$1),"")</f>
        <v/>
      </c>
      <c r="C135">
        <f>IF(Draft_Import!$D135=C$1,COUNTIF(Draft_Import!$D$2:'Draft_Import'!$D135,C$1),"")</f>
        <v/>
      </c>
      <c r="E135">
        <f>IF(Draft_Import!$D135=E$1,COUNTIF(Draft_Import!$D$2:'Draft_Import'!$D135,E$1),"")</f>
        <v/>
      </c>
      <c r="G135">
        <f>IF(Draft_Import!$D135=G$1,COUNTIF(Draft_Import!$D$2:'Draft_Import'!$D135,G$1),"")</f>
        <v/>
      </c>
      <c r="I135">
        <f>IF(Draft_Import!$D135=I$1,COUNTIF(Draft_Import!$D$2:'Draft_Import'!$D135,I$1),"")</f>
        <v/>
      </c>
      <c r="K135">
        <f>IF(Draft_Import!$D135=K$1,COUNTIF(Draft_Import!$D$2:'Draft_Import'!$D135,K$1),"")</f>
        <v/>
      </c>
      <c r="M135">
        <f>IF(Draft_Import!$D135=M$1,COUNTIF(Draft_Import!$D$2:'Draft_Import'!$D135,M$1),"")</f>
        <v/>
      </c>
      <c r="O135">
        <f>IF(Draft_Import!$D135=O$1,COUNTIF(Draft_Import!$D$2:'Draft_Import'!$D135,O$1),"")</f>
        <v/>
      </c>
      <c r="Q135">
        <f>IF(Draft_Import!$D135=Q$1,COUNTIF(Draft_Import!$D$2:'Draft_Import'!$D135,Q$1),"")</f>
        <v/>
      </c>
      <c r="S135">
        <f>IF(Draft_Import!$D135=S$1,COUNTIF(Draft_Import!$D$2:'Draft_Import'!$D135,S$1),"")</f>
        <v/>
      </c>
    </row>
    <row r="136">
      <c r="A136">
        <f>IF(Draft_Import!$D136=A$1,COUNTIF(Draft_Import!$D$2:'Draft_Import'!$D136,A$1),"")</f>
        <v/>
      </c>
      <c r="C136">
        <f>IF(Draft_Import!$D136=C$1,COUNTIF(Draft_Import!$D$2:'Draft_Import'!$D136,C$1),"")</f>
        <v/>
      </c>
      <c r="E136">
        <f>IF(Draft_Import!$D136=E$1,COUNTIF(Draft_Import!$D$2:'Draft_Import'!$D136,E$1),"")</f>
        <v/>
      </c>
      <c r="G136">
        <f>IF(Draft_Import!$D136=G$1,COUNTIF(Draft_Import!$D$2:'Draft_Import'!$D136,G$1),"")</f>
        <v/>
      </c>
      <c r="I136">
        <f>IF(Draft_Import!$D136=I$1,COUNTIF(Draft_Import!$D$2:'Draft_Import'!$D136,I$1),"")</f>
        <v/>
      </c>
      <c r="K136">
        <f>IF(Draft_Import!$D136=K$1,COUNTIF(Draft_Import!$D$2:'Draft_Import'!$D136,K$1),"")</f>
        <v/>
      </c>
      <c r="M136">
        <f>IF(Draft_Import!$D136=M$1,COUNTIF(Draft_Import!$D$2:'Draft_Import'!$D136,M$1),"")</f>
        <v/>
      </c>
      <c r="O136">
        <f>IF(Draft_Import!$D136=O$1,COUNTIF(Draft_Import!$D$2:'Draft_Import'!$D136,O$1),"")</f>
        <v/>
      </c>
      <c r="Q136">
        <f>IF(Draft_Import!$D136=Q$1,COUNTIF(Draft_Import!$D$2:'Draft_Import'!$D136,Q$1),"")</f>
        <v/>
      </c>
      <c r="S136">
        <f>IF(Draft_Import!$D136=S$1,COUNTIF(Draft_Import!$D$2:'Draft_Import'!$D136,S$1),"")</f>
        <v/>
      </c>
    </row>
    <row r="137">
      <c r="A137">
        <f>IF(Draft_Import!$D137=A$1,COUNTIF(Draft_Import!$D$2:'Draft_Import'!$D137,A$1),"")</f>
        <v/>
      </c>
      <c r="C137">
        <f>IF(Draft_Import!$D137=C$1,COUNTIF(Draft_Import!$D$2:'Draft_Import'!$D137,C$1),"")</f>
        <v/>
      </c>
      <c r="E137">
        <f>IF(Draft_Import!$D137=E$1,COUNTIF(Draft_Import!$D$2:'Draft_Import'!$D137,E$1),"")</f>
        <v/>
      </c>
      <c r="G137">
        <f>IF(Draft_Import!$D137=G$1,COUNTIF(Draft_Import!$D$2:'Draft_Import'!$D137,G$1),"")</f>
        <v/>
      </c>
      <c r="I137">
        <f>IF(Draft_Import!$D137=I$1,COUNTIF(Draft_Import!$D$2:'Draft_Import'!$D137,I$1),"")</f>
        <v/>
      </c>
      <c r="K137">
        <f>IF(Draft_Import!$D137=K$1,COUNTIF(Draft_Import!$D$2:'Draft_Import'!$D137,K$1),"")</f>
        <v/>
      </c>
      <c r="M137">
        <f>IF(Draft_Import!$D137=M$1,COUNTIF(Draft_Import!$D$2:'Draft_Import'!$D137,M$1),"")</f>
        <v/>
      </c>
      <c r="O137">
        <f>IF(Draft_Import!$D137=O$1,COUNTIF(Draft_Import!$D$2:'Draft_Import'!$D137,O$1),"")</f>
        <v/>
      </c>
      <c r="Q137">
        <f>IF(Draft_Import!$D137=Q$1,COUNTIF(Draft_Import!$D$2:'Draft_Import'!$D137,Q$1),"")</f>
        <v/>
      </c>
      <c r="S137">
        <f>IF(Draft_Import!$D137=S$1,COUNTIF(Draft_Import!$D$2:'Draft_Import'!$D137,S$1),"")</f>
        <v/>
      </c>
    </row>
    <row r="138">
      <c r="A138">
        <f>IF(Draft_Import!$D138=A$1,COUNTIF(Draft_Import!$D$2:'Draft_Import'!$D138,A$1),"")</f>
        <v/>
      </c>
      <c r="C138">
        <f>IF(Draft_Import!$D138=C$1,COUNTIF(Draft_Import!$D$2:'Draft_Import'!$D138,C$1),"")</f>
        <v/>
      </c>
      <c r="E138">
        <f>IF(Draft_Import!$D138=E$1,COUNTIF(Draft_Import!$D$2:'Draft_Import'!$D138,E$1),"")</f>
        <v/>
      </c>
      <c r="G138">
        <f>IF(Draft_Import!$D138=G$1,COUNTIF(Draft_Import!$D$2:'Draft_Import'!$D138,G$1),"")</f>
        <v/>
      </c>
      <c r="I138">
        <f>IF(Draft_Import!$D138=I$1,COUNTIF(Draft_Import!$D$2:'Draft_Import'!$D138,I$1),"")</f>
        <v/>
      </c>
      <c r="K138">
        <f>IF(Draft_Import!$D138=K$1,COUNTIF(Draft_Import!$D$2:'Draft_Import'!$D138,K$1),"")</f>
        <v/>
      </c>
      <c r="M138">
        <f>IF(Draft_Import!$D138=M$1,COUNTIF(Draft_Import!$D$2:'Draft_Import'!$D138,M$1),"")</f>
        <v/>
      </c>
      <c r="O138">
        <f>IF(Draft_Import!$D138=O$1,COUNTIF(Draft_Import!$D$2:'Draft_Import'!$D138,O$1),"")</f>
        <v/>
      </c>
      <c r="Q138">
        <f>IF(Draft_Import!$D138=Q$1,COUNTIF(Draft_Import!$D$2:'Draft_Import'!$D138,Q$1),"")</f>
        <v/>
      </c>
      <c r="S138">
        <f>IF(Draft_Import!$D138=S$1,COUNTIF(Draft_Import!$D$2:'Draft_Import'!$D138,S$1),"")</f>
        <v/>
      </c>
    </row>
    <row r="139">
      <c r="A139">
        <f>IF(Draft_Import!$D139=A$1,COUNTIF(Draft_Import!$D$2:'Draft_Import'!$D139,A$1),"")</f>
        <v/>
      </c>
      <c r="C139">
        <f>IF(Draft_Import!$D139=C$1,COUNTIF(Draft_Import!$D$2:'Draft_Import'!$D139,C$1),"")</f>
        <v/>
      </c>
      <c r="E139">
        <f>IF(Draft_Import!$D139=E$1,COUNTIF(Draft_Import!$D$2:'Draft_Import'!$D139,E$1),"")</f>
        <v/>
      </c>
      <c r="G139">
        <f>IF(Draft_Import!$D139=G$1,COUNTIF(Draft_Import!$D$2:'Draft_Import'!$D139,G$1),"")</f>
        <v/>
      </c>
      <c r="I139">
        <f>IF(Draft_Import!$D139=I$1,COUNTIF(Draft_Import!$D$2:'Draft_Import'!$D139,I$1),"")</f>
        <v/>
      </c>
      <c r="K139">
        <f>IF(Draft_Import!$D139=K$1,COUNTIF(Draft_Import!$D$2:'Draft_Import'!$D139,K$1),"")</f>
        <v/>
      </c>
      <c r="M139">
        <f>IF(Draft_Import!$D139=M$1,COUNTIF(Draft_Import!$D$2:'Draft_Import'!$D139,M$1),"")</f>
        <v/>
      </c>
      <c r="O139">
        <f>IF(Draft_Import!$D139=O$1,COUNTIF(Draft_Import!$D$2:'Draft_Import'!$D139,O$1),"")</f>
        <v/>
      </c>
      <c r="Q139">
        <f>IF(Draft_Import!$D139=Q$1,COUNTIF(Draft_Import!$D$2:'Draft_Import'!$D139,Q$1),"")</f>
        <v/>
      </c>
      <c r="S139">
        <f>IF(Draft_Import!$D139=S$1,COUNTIF(Draft_Import!$D$2:'Draft_Import'!$D139,S$1),"")</f>
        <v/>
      </c>
    </row>
    <row r="140">
      <c r="A140">
        <f>IF(Draft_Import!$D140=A$1,COUNTIF(Draft_Import!$D$2:'Draft_Import'!$D140,A$1),"")</f>
        <v/>
      </c>
      <c r="C140">
        <f>IF(Draft_Import!$D140=C$1,COUNTIF(Draft_Import!$D$2:'Draft_Import'!$D140,C$1),"")</f>
        <v/>
      </c>
      <c r="E140">
        <f>IF(Draft_Import!$D140=E$1,COUNTIF(Draft_Import!$D$2:'Draft_Import'!$D140,E$1),"")</f>
        <v/>
      </c>
      <c r="G140">
        <f>IF(Draft_Import!$D140=G$1,COUNTIF(Draft_Import!$D$2:'Draft_Import'!$D140,G$1),"")</f>
        <v/>
      </c>
      <c r="I140">
        <f>IF(Draft_Import!$D140=I$1,COUNTIF(Draft_Import!$D$2:'Draft_Import'!$D140,I$1),"")</f>
        <v/>
      </c>
      <c r="K140">
        <f>IF(Draft_Import!$D140=K$1,COUNTIF(Draft_Import!$D$2:'Draft_Import'!$D140,K$1),"")</f>
        <v/>
      </c>
      <c r="M140">
        <f>IF(Draft_Import!$D140=M$1,COUNTIF(Draft_Import!$D$2:'Draft_Import'!$D140,M$1),"")</f>
        <v/>
      </c>
      <c r="O140">
        <f>IF(Draft_Import!$D140=O$1,COUNTIF(Draft_Import!$D$2:'Draft_Import'!$D140,O$1),"")</f>
        <v/>
      </c>
      <c r="Q140">
        <f>IF(Draft_Import!$D140=Q$1,COUNTIF(Draft_Import!$D$2:'Draft_Import'!$D140,Q$1),"")</f>
        <v/>
      </c>
      <c r="S140">
        <f>IF(Draft_Import!$D140=S$1,COUNTIF(Draft_Import!$D$2:'Draft_Import'!$D140,S$1),"")</f>
        <v/>
      </c>
    </row>
    <row r="141">
      <c r="A141">
        <f>IF(Draft_Import!$D141=A$1,COUNTIF(Draft_Import!$D$2:'Draft_Import'!$D141,A$1),"")</f>
        <v/>
      </c>
      <c r="C141">
        <f>IF(Draft_Import!$D141=C$1,COUNTIF(Draft_Import!$D$2:'Draft_Import'!$D141,C$1),"")</f>
        <v/>
      </c>
      <c r="E141">
        <f>IF(Draft_Import!$D141=E$1,COUNTIF(Draft_Import!$D$2:'Draft_Import'!$D141,E$1),"")</f>
        <v/>
      </c>
      <c r="G141">
        <f>IF(Draft_Import!$D141=G$1,COUNTIF(Draft_Import!$D$2:'Draft_Import'!$D141,G$1),"")</f>
        <v/>
      </c>
      <c r="I141">
        <f>IF(Draft_Import!$D141=I$1,COUNTIF(Draft_Import!$D$2:'Draft_Import'!$D141,I$1),"")</f>
        <v/>
      </c>
      <c r="K141">
        <f>IF(Draft_Import!$D141=K$1,COUNTIF(Draft_Import!$D$2:'Draft_Import'!$D141,K$1),"")</f>
        <v/>
      </c>
      <c r="M141">
        <f>IF(Draft_Import!$D141=M$1,COUNTIF(Draft_Import!$D$2:'Draft_Import'!$D141,M$1),"")</f>
        <v/>
      </c>
      <c r="O141">
        <f>IF(Draft_Import!$D141=O$1,COUNTIF(Draft_Import!$D$2:'Draft_Import'!$D141,O$1),"")</f>
        <v/>
      </c>
      <c r="Q141">
        <f>IF(Draft_Import!$D141=Q$1,COUNTIF(Draft_Import!$D$2:'Draft_Import'!$D141,Q$1),"")</f>
        <v/>
      </c>
      <c r="S141">
        <f>IF(Draft_Import!$D141=S$1,COUNTIF(Draft_Import!$D$2:'Draft_Import'!$D141,S$1),"")</f>
        <v/>
      </c>
    </row>
    <row r="142">
      <c r="A142">
        <f>IF(Draft_Import!$D142=A$1,COUNTIF(Draft_Import!$D$2:'Draft_Import'!$D142,A$1),"")</f>
        <v/>
      </c>
      <c r="C142">
        <f>IF(Draft_Import!$D142=C$1,COUNTIF(Draft_Import!$D$2:'Draft_Import'!$D142,C$1),"")</f>
        <v/>
      </c>
      <c r="E142">
        <f>IF(Draft_Import!$D142=E$1,COUNTIF(Draft_Import!$D$2:'Draft_Import'!$D142,E$1),"")</f>
        <v/>
      </c>
      <c r="G142">
        <f>IF(Draft_Import!$D142=G$1,COUNTIF(Draft_Import!$D$2:'Draft_Import'!$D142,G$1),"")</f>
        <v/>
      </c>
      <c r="I142">
        <f>IF(Draft_Import!$D142=I$1,COUNTIF(Draft_Import!$D$2:'Draft_Import'!$D142,I$1),"")</f>
        <v/>
      </c>
      <c r="K142">
        <f>IF(Draft_Import!$D142=K$1,COUNTIF(Draft_Import!$D$2:'Draft_Import'!$D142,K$1),"")</f>
        <v/>
      </c>
      <c r="M142">
        <f>IF(Draft_Import!$D142=M$1,COUNTIF(Draft_Import!$D$2:'Draft_Import'!$D142,M$1),"")</f>
        <v/>
      </c>
      <c r="O142">
        <f>IF(Draft_Import!$D142=O$1,COUNTIF(Draft_Import!$D$2:'Draft_Import'!$D142,O$1),"")</f>
        <v/>
      </c>
      <c r="Q142">
        <f>IF(Draft_Import!$D142=Q$1,COUNTIF(Draft_Import!$D$2:'Draft_Import'!$D142,Q$1),"")</f>
        <v/>
      </c>
      <c r="S142">
        <f>IF(Draft_Import!$D142=S$1,COUNTIF(Draft_Import!$D$2:'Draft_Import'!$D142,S$1),"")</f>
        <v/>
      </c>
    </row>
    <row r="143">
      <c r="A143">
        <f>IF(Draft_Import!$D143=A$1,COUNTIF(Draft_Import!$D$2:'Draft_Import'!$D143,A$1),"")</f>
        <v/>
      </c>
      <c r="C143">
        <f>IF(Draft_Import!$D143=C$1,COUNTIF(Draft_Import!$D$2:'Draft_Import'!$D143,C$1),"")</f>
        <v/>
      </c>
      <c r="E143">
        <f>IF(Draft_Import!$D143=E$1,COUNTIF(Draft_Import!$D$2:'Draft_Import'!$D143,E$1),"")</f>
        <v/>
      </c>
      <c r="G143">
        <f>IF(Draft_Import!$D143=G$1,COUNTIF(Draft_Import!$D$2:'Draft_Import'!$D143,G$1),"")</f>
        <v/>
      </c>
      <c r="I143">
        <f>IF(Draft_Import!$D143=I$1,COUNTIF(Draft_Import!$D$2:'Draft_Import'!$D143,I$1),"")</f>
        <v/>
      </c>
      <c r="K143">
        <f>IF(Draft_Import!$D143=K$1,COUNTIF(Draft_Import!$D$2:'Draft_Import'!$D143,K$1),"")</f>
        <v/>
      </c>
      <c r="M143">
        <f>IF(Draft_Import!$D143=M$1,COUNTIF(Draft_Import!$D$2:'Draft_Import'!$D143,M$1),"")</f>
        <v/>
      </c>
      <c r="O143">
        <f>IF(Draft_Import!$D143=O$1,COUNTIF(Draft_Import!$D$2:'Draft_Import'!$D143,O$1),"")</f>
        <v/>
      </c>
      <c r="Q143">
        <f>IF(Draft_Import!$D143=Q$1,COUNTIF(Draft_Import!$D$2:'Draft_Import'!$D143,Q$1),"")</f>
        <v/>
      </c>
      <c r="S143">
        <f>IF(Draft_Import!$D143=S$1,COUNTIF(Draft_Import!$D$2:'Draft_Import'!$D143,S$1),"")</f>
        <v/>
      </c>
    </row>
    <row r="144">
      <c r="A144">
        <f>IF(Draft_Import!$D144=A$1,COUNTIF(Draft_Import!$D$2:'Draft_Import'!$D144,A$1),"")</f>
        <v/>
      </c>
      <c r="C144">
        <f>IF(Draft_Import!$D144=C$1,COUNTIF(Draft_Import!$D$2:'Draft_Import'!$D144,C$1),"")</f>
        <v/>
      </c>
      <c r="E144">
        <f>IF(Draft_Import!$D144=E$1,COUNTIF(Draft_Import!$D$2:'Draft_Import'!$D144,E$1),"")</f>
        <v/>
      </c>
      <c r="G144">
        <f>IF(Draft_Import!$D144=G$1,COUNTIF(Draft_Import!$D$2:'Draft_Import'!$D144,G$1),"")</f>
        <v/>
      </c>
      <c r="I144">
        <f>IF(Draft_Import!$D144=I$1,COUNTIF(Draft_Import!$D$2:'Draft_Import'!$D144,I$1),"")</f>
        <v/>
      </c>
      <c r="K144">
        <f>IF(Draft_Import!$D144=K$1,COUNTIF(Draft_Import!$D$2:'Draft_Import'!$D144,K$1),"")</f>
        <v/>
      </c>
      <c r="M144">
        <f>IF(Draft_Import!$D144=M$1,COUNTIF(Draft_Import!$D$2:'Draft_Import'!$D144,M$1),"")</f>
        <v/>
      </c>
      <c r="O144">
        <f>IF(Draft_Import!$D144=O$1,COUNTIF(Draft_Import!$D$2:'Draft_Import'!$D144,O$1),"")</f>
        <v/>
      </c>
      <c r="Q144">
        <f>IF(Draft_Import!$D144=Q$1,COUNTIF(Draft_Import!$D$2:'Draft_Import'!$D144,Q$1),"")</f>
        <v/>
      </c>
      <c r="S144">
        <f>IF(Draft_Import!$D144=S$1,COUNTIF(Draft_Import!$D$2:'Draft_Import'!$D144,S$1),"")</f>
        <v/>
      </c>
    </row>
    <row r="145">
      <c r="A145">
        <f>IF(Draft_Import!$D145=A$1,COUNTIF(Draft_Import!$D$2:'Draft_Import'!$D145,A$1),"")</f>
        <v/>
      </c>
      <c r="C145">
        <f>IF(Draft_Import!$D145=C$1,COUNTIF(Draft_Import!$D$2:'Draft_Import'!$D145,C$1),"")</f>
        <v/>
      </c>
      <c r="E145">
        <f>IF(Draft_Import!$D145=E$1,COUNTIF(Draft_Import!$D$2:'Draft_Import'!$D145,E$1),"")</f>
        <v/>
      </c>
      <c r="G145">
        <f>IF(Draft_Import!$D145=G$1,COUNTIF(Draft_Import!$D$2:'Draft_Import'!$D145,G$1),"")</f>
        <v/>
      </c>
      <c r="I145">
        <f>IF(Draft_Import!$D145=I$1,COUNTIF(Draft_Import!$D$2:'Draft_Import'!$D145,I$1),"")</f>
        <v/>
      </c>
      <c r="K145">
        <f>IF(Draft_Import!$D145=K$1,COUNTIF(Draft_Import!$D$2:'Draft_Import'!$D145,K$1),"")</f>
        <v/>
      </c>
      <c r="M145">
        <f>IF(Draft_Import!$D145=M$1,COUNTIF(Draft_Import!$D$2:'Draft_Import'!$D145,M$1),"")</f>
        <v/>
      </c>
      <c r="O145">
        <f>IF(Draft_Import!$D145=O$1,COUNTIF(Draft_Import!$D$2:'Draft_Import'!$D145,O$1),"")</f>
        <v/>
      </c>
      <c r="Q145">
        <f>IF(Draft_Import!$D145=Q$1,COUNTIF(Draft_Import!$D$2:'Draft_Import'!$D145,Q$1),"")</f>
        <v/>
      </c>
      <c r="S145">
        <f>IF(Draft_Import!$D145=S$1,COUNTIF(Draft_Import!$D$2:'Draft_Import'!$D145,S$1),"")</f>
        <v/>
      </c>
    </row>
    <row r="146">
      <c r="A146">
        <f>IF(Draft_Import!$D146=A$1,COUNTIF(Draft_Import!$D$2:'Draft_Import'!$D146,A$1),"")</f>
        <v/>
      </c>
      <c r="C146">
        <f>IF(Draft_Import!$D146=C$1,COUNTIF(Draft_Import!$D$2:'Draft_Import'!$D146,C$1),"")</f>
        <v/>
      </c>
      <c r="E146">
        <f>IF(Draft_Import!$D146=E$1,COUNTIF(Draft_Import!$D$2:'Draft_Import'!$D146,E$1),"")</f>
        <v/>
      </c>
      <c r="G146">
        <f>IF(Draft_Import!$D146=G$1,COUNTIF(Draft_Import!$D$2:'Draft_Import'!$D146,G$1),"")</f>
        <v/>
      </c>
      <c r="I146">
        <f>IF(Draft_Import!$D146=I$1,COUNTIF(Draft_Import!$D$2:'Draft_Import'!$D146,I$1),"")</f>
        <v/>
      </c>
      <c r="K146">
        <f>IF(Draft_Import!$D146=K$1,COUNTIF(Draft_Import!$D$2:'Draft_Import'!$D146,K$1),"")</f>
        <v/>
      </c>
      <c r="M146">
        <f>IF(Draft_Import!$D146=M$1,COUNTIF(Draft_Import!$D$2:'Draft_Import'!$D146,M$1),"")</f>
        <v/>
      </c>
      <c r="O146">
        <f>IF(Draft_Import!$D146=O$1,COUNTIF(Draft_Import!$D$2:'Draft_Import'!$D146,O$1),"")</f>
        <v/>
      </c>
      <c r="Q146">
        <f>IF(Draft_Import!$D146=Q$1,COUNTIF(Draft_Import!$D$2:'Draft_Import'!$D146,Q$1),"")</f>
        <v/>
      </c>
      <c r="S146">
        <f>IF(Draft_Import!$D146=S$1,COUNTIF(Draft_Import!$D$2:'Draft_Import'!$D146,S$1),"")</f>
        <v/>
      </c>
    </row>
    <row r="147">
      <c r="A147">
        <f>IF(Draft_Import!$D147=A$1,COUNTIF(Draft_Import!$D$2:'Draft_Import'!$D147,A$1),"")</f>
        <v/>
      </c>
      <c r="C147">
        <f>IF(Draft_Import!$D147=C$1,COUNTIF(Draft_Import!$D$2:'Draft_Import'!$D147,C$1),"")</f>
        <v/>
      </c>
      <c r="E147">
        <f>IF(Draft_Import!$D147=E$1,COUNTIF(Draft_Import!$D$2:'Draft_Import'!$D147,E$1),"")</f>
        <v/>
      </c>
      <c r="G147">
        <f>IF(Draft_Import!$D147=G$1,COUNTIF(Draft_Import!$D$2:'Draft_Import'!$D147,G$1),"")</f>
        <v/>
      </c>
      <c r="I147">
        <f>IF(Draft_Import!$D147=I$1,COUNTIF(Draft_Import!$D$2:'Draft_Import'!$D147,I$1),"")</f>
        <v/>
      </c>
      <c r="K147">
        <f>IF(Draft_Import!$D147=K$1,COUNTIF(Draft_Import!$D$2:'Draft_Import'!$D147,K$1),"")</f>
        <v/>
      </c>
      <c r="M147">
        <f>IF(Draft_Import!$D147=M$1,COUNTIF(Draft_Import!$D$2:'Draft_Import'!$D147,M$1),"")</f>
        <v/>
      </c>
      <c r="O147">
        <f>IF(Draft_Import!$D147=O$1,COUNTIF(Draft_Import!$D$2:'Draft_Import'!$D147,O$1),"")</f>
        <v/>
      </c>
      <c r="Q147">
        <f>IF(Draft_Import!$D147=Q$1,COUNTIF(Draft_Import!$D$2:'Draft_Import'!$D147,Q$1),"")</f>
        <v/>
      </c>
      <c r="S147">
        <f>IF(Draft_Import!$D147=S$1,COUNTIF(Draft_Import!$D$2:'Draft_Import'!$D147,S$1),"")</f>
        <v/>
      </c>
    </row>
    <row r="148">
      <c r="A148">
        <f>IF(Draft_Import!$D148=A$1,COUNTIF(Draft_Import!$D$2:'Draft_Import'!$D148,A$1),"")</f>
        <v/>
      </c>
      <c r="C148">
        <f>IF(Draft_Import!$D148=C$1,COUNTIF(Draft_Import!$D$2:'Draft_Import'!$D148,C$1),"")</f>
        <v/>
      </c>
      <c r="E148">
        <f>IF(Draft_Import!$D148=E$1,COUNTIF(Draft_Import!$D$2:'Draft_Import'!$D148,E$1),"")</f>
        <v/>
      </c>
      <c r="G148">
        <f>IF(Draft_Import!$D148=G$1,COUNTIF(Draft_Import!$D$2:'Draft_Import'!$D148,G$1),"")</f>
        <v/>
      </c>
      <c r="I148">
        <f>IF(Draft_Import!$D148=I$1,COUNTIF(Draft_Import!$D$2:'Draft_Import'!$D148,I$1),"")</f>
        <v/>
      </c>
      <c r="K148">
        <f>IF(Draft_Import!$D148=K$1,COUNTIF(Draft_Import!$D$2:'Draft_Import'!$D148,K$1),"")</f>
        <v/>
      </c>
      <c r="M148">
        <f>IF(Draft_Import!$D148=M$1,COUNTIF(Draft_Import!$D$2:'Draft_Import'!$D148,M$1),"")</f>
        <v/>
      </c>
      <c r="O148">
        <f>IF(Draft_Import!$D148=O$1,COUNTIF(Draft_Import!$D$2:'Draft_Import'!$D148,O$1),"")</f>
        <v/>
      </c>
      <c r="Q148">
        <f>IF(Draft_Import!$D148=Q$1,COUNTIF(Draft_Import!$D$2:'Draft_Import'!$D148,Q$1),"")</f>
        <v/>
      </c>
      <c r="S148">
        <f>IF(Draft_Import!$D148=S$1,COUNTIF(Draft_Import!$D$2:'Draft_Import'!$D148,S$1),"")</f>
        <v/>
      </c>
    </row>
    <row r="149">
      <c r="A149">
        <f>IF(Draft_Import!$D149=A$1,COUNTIF(Draft_Import!$D$2:'Draft_Import'!$D149,A$1),"")</f>
        <v/>
      </c>
      <c r="C149">
        <f>IF(Draft_Import!$D149=C$1,COUNTIF(Draft_Import!$D$2:'Draft_Import'!$D149,C$1),"")</f>
        <v/>
      </c>
      <c r="E149">
        <f>IF(Draft_Import!$D149=E$1,COUNTIF(Draft_Import!$D$2:'Draft_Import'!$D149,E$1),"")</f>
        <v/>
      </c>
      <c r="G149">
        <f>IF(Draft_Import!$D149=G$1,COUNTIF(Draft_Import!$D$2:'Draft_Import'!$D149,G$1),"")</f>
        <v/>
      </c>
      <c r="I149">
        <f>IF(Draft_Import!$D149=I$1,COUNTIF(Draft_Import!$D$2:'Draft_Import'!$D149,I$1),"")</f>
        <v/>
      </c>
      <c r="K149">
        <f>IF(Draft_Import!$D149=K$1,COUNTIF(Draft_Import!$D$2:'Draft_Import'!$D149,K$1),"")</f>
        <v/>
      </c>
      <c r="M149">
        <f>IF(Draft_Import!$D149=M$1,COUNTIF(Draft_Import!$D$2:'Draft_Import'!$D149,M$1),"")</f>
        <v/>
      </c>
      <c r="O149">
        <f>IF(Draft_Import!$D149=O$1,COUNTIF(Draft_Import!$D$2:'Draft_Import'!$D149,O$1),"")</f>
        <v/>
      </c>
      <c r="Q149">
        <f>IF(Draft_Import!$D149=Q$1,COUNTIF(Draft_Import!$D$2:'Draft_Import'!$D149,Q$1),"")</f>
        <v/>
      </c>
      <c r="S149">
        <f>IF(Draft_Import!$D149=S$1,COUNTIF(Draft_Import!$D$2:'Draft_Import'!$D149,S$1),"")</f>
        <v/>
      </c>
    </row>
    <row r="150">
      <c r="A150">
        <f>IF(Draft_Import!$D150=A$1,COUNTIF(Draft_Import!$D$2:'Draft_Import'!$D150,A$1),"")</f>
        <v/>
      </c>
      <c r="C150">
        <f>IF(Draft_Import!$D150=C$1,COUNTIF(Draft_Import!$D$2:'Draft_Import'!$D150,C$1),"")</f>
        <v/>
      </c>
      <c r="E150">
        <f>IF(Draft_Import!$D150=E$1,COUNTIF(Draft_Import!$D$2:'Draft_Import'!$D150,E$1),"")</f>
        <v/>
      </c>
      <c r="G150">
        <f>IF(Draft_Import!$D150=G$1,COUNTIF(Draft_Import!$D$2:'Draft_Import'!$D150,G$1),"")</f>
        <v/>
      </c>
      <c r="I150">
        <f>IF(Draft_Import!$D150=I$1,COUNTIF(Draft_Import!$D$2:'Draft_Import'!$D150,I$1),"")</f>
        <v/>
      </c>
      <c r="K150">
        <f>IF(Draft_Import!$D150=K$1,COUNTIF(Draft_Import!$D$2:'Draft_Import'!$D150,K$1),"")</f>
        <v/>
      </c>
      <c r="M150">
        <f>IF(Draft_Import!$D150=M$1,COUNTIF(Draft_Import!$D$2:'Draft_Import'!$D150,M$1),"")</f>
        <v/>
      </c>
      <c r="O150">
        <f>IF(Draft_Import!$D150=O$1,COUNTIF(Draft_Import!$D$2:'Draft_Import'!$D150,O$1),"")</f>
        <v/>
      </c>
      <c r="Q150">
        <f>IF(Draft_Import!$D150=Q$1,COUNTIF(Draft_Import!$D$2:'Draft_Import'!$D150,Q$1),"")</f>
        <v/>
      </c>
      <c r="S150">
        <f>IF(Draft_Import!$D150=S$1,COUNTIF(Draft_Import!$D$2:'Draft_Import'!$D150,S$1),"")</f>
        <v/>
      </c>
    </row>
    <row r="151">
      <c r="A151">
        <f>IF(Draft_Import!$D151=A$1,COUNTIF(Draft_Import!$D$2:'Draft_Import'!$D151,A$1),"")</f>
        <v/>
      </c>
      <c r="C151">
        <f>IF(Draft_Import!$D151=C$1,COUNTIF(Draft_Import!$D$2:'Draft_Import'!$D151,C$1),"")</f>
        <v/>
      </c>
      <c r="E151">
        <f>IF(Draft_Import!$D151=E$1,COUNTIF(Draft_Import!$D$2:'Draft_Import'!$D151,E$1),"")</f>
        <v/>
      </c>
      <c r="G151">
        <f>IF(Draft_Import!$D151=G$1,COUNTIF(Draft_Import!$D$2:'Draft_Import'!$D151,G$1),"")</f>
        <v/>
      </c>
      <c r="I151">
        <f>IF(Draft_Import!$D151=I$1,COUNTIF(Draft_Import!$D$2:'Draft_Import'!$D151,I$1),"")</f>
        <v/>
      </c>
      <c r="K151">
        <f>IF(Draft_Import!$D151=K$1,COUNTIF(Draft_Import!$D$2:'Draft_Import'!$D151,K$1),"")</f>
        <v/>
      </c>
      <c r="M151">
        <f>IF(Draft_Import!$D151=M$1,COUNTIF(Draft_Import!$D$2:'Draft_Import'!$D151,M$1),"")</f>
        <v/>
      </c>
      <c r="O151">
        <f>IF(Draft_Import!$D151=O$1,COUNTIF(Draft_Import!$D$2:'Draft_Import'!$D151,O$1),"")</f>
        <v/>
      </c>
      <c r="Q151">
        <f>IF(Draft_Import!$D151=Q$1,COUNTIF(Draft_Import!$D$2:'Draft_Import'!$D151,Q$1),"")</f>
        <v/>
      </c>
      <c r="S151">
        <f>IF(Draft_Import!$D151=S$1,COUNTIF(Draft_Import!$D$2:'Draft_Import'!$D151,S$1),"")</f>
        <v/>
      </c>
    </row>
    <row r="152">
      <c r="A152">
        <f>IF(Draft_Import!$D152=A$1,COUNTIF(Draft_Import!$D$2:'Draft_Import'!$D152,A$1),"")</f>
        <v/>
      </c>
      <c r="C152">
        <f>IF(Draft_Import!$D152=C$1,COUNTIF(Draft_Import!$D$2:'Draft_Import'!$D152,C$1),"")</f>
        <v/>
      </c>
      <c r="E152">
        <f>IF(Draft_Import!$D152=E$1,COUNTIF(Draft_Import!$D$2:'Draft_Import'!$D152,E$1),"")</f>
        <v/>
      </c>
      <c r="G152">
        <f>IF(Draft_Import!$D152=G$1,COUNTIF(Draft_Import!$D$2:'Draft_Import'!$D152,G$1),"")</f>
        <v/>
      </c>
      <c r="I152">
        <f>IF(Draft_Import!$D152=I$1,COUNTIF(Draft_Import!$D$2:'Draft_Import'!$D152,I$1),"")</f>
        <v/>
      </c>
      <c r="K152">
        <f>IF(Draft_Import!$D152=K$1,COUNTIF(Draft_Import!$D$2:'Draft_Import'!$D152,K$1),"")</f>
        <v/>
      </c>
      <c r="M152">
        <f>IF(Draft_Import!$D152=M$1,COUNTIF(Draft_Import!$D$2:'Draft_Import'!$D152,M$1),"")</f>
        <v/>
      </c>
      <c r="O152">
        <f>IF(Draft_Import!$D152=O$1,COUNTIF(Draft_Import!$D$2:'Draft_Import'!$D152,O$1),"")</f>
        <v/>
      </c>
      <c r="Q152">
        <f>IF(Draft_Import!$D152=Q$1,COUNTIF(Draft_Import!$D$2:'Draft_Import'!$D152,Q$1),"")</f>
        <v/>
      </c>
      <c r="S152">
        <f>IF(Draft_Import!$D152=S$1,COUNTIF(Draft_Import!$D$2:'Draft_Import'!$D152,S$1),"")</f>
        <v/>
      </c>
    </row>
    <row r="153">
      <c r="A153">
        <f>IF(Draft_Import!$D153=A$1,COUNTIF(Draft_Import!$D$2:'Draft_Import'!$D153,A$1),"")</f>
        <v/>
      </c>
      <c r="C153">
        <f>IF(Draft_Import!$D153=C$1,COUNTIF(Draft_Import!$D$2:'Draft_Import'!$D153,C$1),"")</f>
        <v/>
      </c>
      <c r="E153">
        <f>IF(Draft_Import!$D153=E$1,COUNTIF(Draft_Import!$D$2:'Draft_Import'!$D153,E$1),"")</f>
        <v/>
      </c>
      <c r="G153">
        <f>IF(Draft_Import!$D153=G$1,COUNTIF(Draft_Import!$D$2:'Draft_Import'!$D153,G$1),"")</f>
        <v/>
      </c>
      <c r="I153">
        <f>IF(Draft_Import!$D153=I$1,COUNTIF(Draft_Import!$D$2:'Draft_Import'!$D153,I$1),"")</f>
        <v/>
      </c>
      <c r="K153">
        <f>IF(Draft_Import!$D153=K$1,COUNTIF(Draft_Import!$D$2:'Draft_Import'!$D153,K$1),"")</f>
        <v/>
      </c>
      <c r="M153">
        <f>IF(Draft_Import!$D153=M$1,COUNTIF(Draft_Import!$D$2:'Draft_Import'!$D153,M$1),"")</f>
        <v/>
      </c>
      <c r="O153">
        <f>IF(Draft_Import!$D153=O$1,COUNTIF(Draft_Import!$D$2:'Draft_Import'!$D153,O$1),"")</f>
        <v/>
      </c>
      <c r="Q153">
        <f>IF(Draft_Import!$D153=Q$1,COUNTIF(Draft_Import!$D$2:'Draft_Import'!$D153,Q$1),"")</f>
        <v/>
      </c>
      <c r="S153">
        <f>IF(Draft_Import!$D153=S$1,COUNTIF(Draft_Import!$D$2:'Draft_Import'!$D153,S$1),"")</f>
        <v/>
      </c>
    </row>
    <row r="154">
      <c r="A154">
        <f>IF(Draft_Import!$D154=A$1,COUNTIF(Draft_Import!$D$2:'Draft_Import'!$D154,A$1),"")</f>
        <v/>
      </c>
      <c r="C154">
        <f>IF(Draft_Import!$D154=C$1,COUNTIF(Draft_Import!$D$2:'Draft_Import'!$D154,C$1),"")</f>
        <v/>
      </c>
      <c r="E154">
        <f>IF(Draft_Import!$D154=E$1,COUNTIF(Draft_Import!$D$2:'Draft_Import'!$D154,E$1),"")</f>
        <v/>
      </c>
      <c r="G154">
        <f>IF(Draft_Import!$D154=G$1,COUNTIF(Draft_Import!$D$2:'Draft_Import'!$D154,G$1),"")</f>
        <v/>
      </c>
      <c r="I154">
        <f>IF(Draft_Import!$D154=I$1,COUNTIF(Draft_Import!$D$2:'Draft_Import'!$D154,I$1),"")</f>
        <v/>
      </c>
      <c r="K154">
        <f>IF(Draft_Import!$D154=K$1,COUNTIF(Draft_Import!$D$2:'Draft_Import'!$D154,K$1),"")</f>
        <v/>
      </c>
      <c r="M154">
        <f>IF(Draft_Import!$D154=M$1,COUNTIF(Draft_Import!$D$2:'Draft_Import'!$D154,M$1),"")</f>
        <v/>
      </c>
      <c r="O154">
        <f>IF(Draft_Import!$D154=O$1,COUNTIF(Draft_Import!$D$2:'Draft_Import'!$D154,O$1),"")</f>
        <v/>
      </c>
      <c r="Q154">
        <f>IF(Draft_Import!$D154=Q$1,COUNTIF(Draft_Import!$D$2:'Draft_Import'!$D154,Q$1),"")</f>
        <v/>
      </c>
      <c r="S154">
        <f>IF(Draft_Import!$D154=S$1,COUNTIF(Draft_Import!$D$2:'Draft_Import'!$D154,S$1),"")</f>
        <v/>
      </c>
    </row>
    <row r="155">
      <c r="A155">
        <f>IF(Draft_Import!$D155=A$1,COUNTIF(Draft_Import!$D$2:'Draft_Import'!$D155,A$1),"")</f>
        <v/>
      </c>
      <c r="C155">
        <f>IF(Draft_Import!$D155=C$1,COUNTIF(Draft_Import!$D$2:'Draft_Import'!$D155,C$1),"")</f>
        <v/>
      </c>
      <c r="E155">
        <f>IF(Draft_Import!$D155=E$1,COUNTIF(Draft_Import!$D$2:'Draft_Import'!$D155,E$1),"")</f>
        <v/>
      </c>
      <c r="G155">
        <f>IF(Draft_Import!$D155=G$1,COUNTIF(Draft_Import!$D$2:'Draft_Import'!$D155,G$1),"")</f>
        <v/>
      </c>
      <c r="I155">
        <f>IF(Draft_Import!$D155=I$1,COUNTIF(Draft_Import!$D$2:'Draft_Import'!$D155,I$1),"")</f>
        <v/>
      </c>
      <c r="K155">
        <f>IF(Draft_Import!$D155=K$1,COUNTIF(Draft_Import!$D$2:'Draft_Import'!$D155,K$1),"")</f>
        <v/>
      </c>
      <c r="M155">
        <f>IF(Draft_Import!$D155=M$1,COUNTIF(Draft_Import!$D$2:'Draft_Import'!$D155,M$1),"")</f>
        <v/>
      </c>
      <c r="O155">
        <f>IF(Draft_Import!$D155=O$1,COUNTIF(Draft_Import!$D$2:'Draft_Import'!$D155,O$1),"")</f>
        <v/>
      </c>
      <c r="Q155">
        <f>IF(Draft_Import!$D155=Q$1,COUNTIF(Draft_Import!$D$2:'Draft_Import'!$D155,Q$1),"")</f>
        <v/>
      </c>
      <c r="S155">
        <f>IF(Draft_Import!$D155=S$1,COUNTIF(Draft_Import!$D$2:'Draft_Import'!$D155,S$1),"")</f>
        <v/>
      </c>
    </row>
    <row r="156">
      <c r="A156">
        <f>IF(Draft_Import!$D156=A$1,COUNTIF(Draft_Import!$D$2:'Draft_Import'!$D156,A$1),"")</f>
        <v/>
      </c>
      <c r="C156">
        <f>IF(Draft_Import!$D156=C$1,COUNTIF(Draft_Import!$D$2:'Draft_Import'!$D156,C$1),"")</f>
        <v/>
      </c>
      <c r="E156">
        <f>IF(Draft_Import!$D156=E$1,COUNTIF(Draft_Import!$D$2:'Draft_Import'!$D156,E$1),"")</f>
        <v/>
      </c>
      <c r="G156">
        <f>IF(Draft_Import!$D156=G$1,COUNTIF(Draft_Import!$D$2:'Draft_Import'!$D156,G$1),"")</f>
        <v/>
      </c>
      <c r="I156">
        <f>IF(Draft_Import!$D156=I$1,COUNTIF(Draft_Import!$D$2:'Draft_Import'!$D156,I$1),"")</f>
        <v/>
      </c>
      <c r="K156">
        <f>IF(Draft_Import!$D156=K$1,COUNTIF(Draft_Import!$D$2:'Draft_Import'!$D156,K$1),"")</f>
        <v/>
      </c>
      <c r="M156">
        <f>IF(Draft_Import!$D156=M$1,COUNTIF(Draft_Import!$D$2:'Draft_Import'!$D156,M$1),"")</f>
        <v/>
      </c>
      <c r="O156">
        <f>IF(Draft_Import!$D156=O$1,COUNTIF(Draft_Import!$D$2:'Draft_Import'!$D156,O$1),"")</f>
        <v/>
      </c>
      <c r="Q156">
        <f>IF(Draft_Import!$D156=Q$1,COUNTIF(Draft_Import!$D$2:'Draft_Import'!$D156,Q$1),"")</f>
        <v/>
      </c>
      <c r="S156">
        <f>IF(Draft_Import!$D156=S$1,COUNTIF(Draft_Import!$D$2:'Draft_Import'!$D156,S$1),"")</f>
        <v/>
      </c>
    </row>
    <row r="157">
      <c r="A157">
        <f>IF(Draft_Import!$D157=A$1,COUNTIF(Draft_Import!$D$2:'Draft_Import'!$D157,A$1),"")</f>
        <v/>
      </c>
      <c r="C157">
        <f>IF(Draft_Import!$D157=C$1,COUNTIF(Draft_Import!$D$2:'Draft_Import'!$D157,C$1),"")</f>
        <v/>
      </c>
      <c r="E157">
        <f>IF(Draft_Import!$D157=E$1,COUNTIF(Draft_Import!$D$2:'Draft_Import'!$D157,E$1),"")</f>
        <v/>
      </c>
      <c r="G157">
        <f>IF(Draft_Import!$D157=G$1,COUNTIF(Draft_Import!$D$2:'Draft_Import'!$D157,G$1),"")</f>
        <v/>
      </c>
      <c r="I157">
        <f>IF(Draft_Import!$D157=I$1,COUNTIF(Draft_Import!$D$2:'Draft_Import'!$D157,I$1),"")</f>
        <v/>
      </c>
      <c r="K157">
        <f>IF(Draft_Import!$D157=K$1,COUNTIF(Draft_Import!$D$2:'Draft_Import'!$D157,K$1),"")</f>
        <v/>
      </c>
      <c r="M157">
        <f>IF(Draft_Import!$D157=M$1,COUNTIF(Draft_Import!$D$2:'Draft_Import'!$D157,M$1),"")</f>
        <v/>
      </c>
      <c r="O157">
        <f>IF(Draft_Import!$D157=O$1,COUNTIF(Draft_Import!$D$2:'Draft_Import'!$D157,O$1),"")</f>
        <v/>
      </c>
      <c r="Q157">
        <f>IF(Draft_Import!$D157=Q$1,COUNTIF(Draft_Import!$D$2:'Draft_Import'!$D157,Q$1),"")</f>
        <v/>
      </c>
      <c r="S157">
        <f>IF(Draft_Import!$D157=S$1,COUNTIF(Draft_Import!$D$2:'Draft_Import'!$D157,S$1),"")</f>
        <v/>
      </c>
    </row>
    <row r="158">
      <c r="A158">
        <f>IF(Draft_Import!$D158=A$1,COUNTIF(Draft_Import!$D$2:'Draft_Import'!$D158,A$1),"")</f>
        <v/>
      </c>
      <c r="C158">
        <f>IF(Draft_Import!$D158=C$1,COUNTIF(Draft_Import!$D$2:'Draft_Import'!$D158,C$1),"")</f>
        <v/>
      </c>
      <c r="E158">
        <f>IF(Draft_Import!$D158=E$1,COUNTIF(Draft_Import!$D$2:'Draft_Import'!$D158,E$1),"")</f>
        <v/>
      </c>
      <c r="G158">
        <f>IF(Draft_Import!$D158=G$1,COUNTIF(Draft_Import!$D$2:'Draft_Import'!$D158,G$1),"")</f>
        <v/>
      </c>
      <c r="I158">
        <f>IF(Draft_Import!$D158=I$1,COUNTIF(Draft_Import!$D$2:'Draft_Import'!$D158,I$1),"")</f>
        <v/>
      </c>
      <c r="K158">
        <f>IF(Draft_Import!$D158=K$1,COUNTIF(Draft_Import!$D$2:'Draft_Import'!$D158,K$1),"")</f>
        <v/>
      </c>
      <c r="M158">
        <f>IF(Draft_Import!$D158=M$1,COUNTIF(Draft_Import!$D$2:'Draft_Import'!$D158,M$1),"")</f>
        <v/>
      </c>
      <c r="O158">
        <f>IF(Draft_Import!$D158=O$1,COUNTIF(Draft_Import!$D$2:'Draft_Import'!$D158,O$1),"")</f>
        <v/>
      </c>
      <c r="Q158">
        <f>IF(Draft_Import!$D158=Q$1,COUNTIF(Draft_Import!$D$2:'Draft_Import'!$D158,Q$1),"")</f>
        <v/>
      </c>
      <c r="S158">
        <f>IF(Draft_Import!$D158=S$1,COUNTIF(Draft_Import!$D$2:'Draft_Import'!$D158,S$1),"")</f>
        <v/>
      </c>
    </row>
    <row r="159">
      <c r="A159">
        <f>IF(Draft_Import!$D159=A$1,COUNTIF(Draft_Import!$D$2:'Draft_Import'!$D159,A$1),"")</f>
        <v/>
      </c>
      <c r="C159">
        <f>IF(Draft_Import!$D159=C$1,COUNTIF(Draft_Import!$D$2:'Draft_Import'!$D159,C$1),"")</f>
        <v/>
      </c>
      <c r="E159">
        <f>IF(Draft_Import!$D159=E$1,COUNTIF(Draft_Import!$D$2:'Draft_Import'!$D159,E$1),"")</f>
        <v/>
      </c>
      <c r="G159">
        <f>IF(Draft_Import!$D159=G$1,COUNTIF(Draft_Import!$D$2:'Draft_Import'!$D159,G$1),"")</f>
        <v/>
      </c>
      <c r="I159">
        <f>IF(Draft_Import!$D159=I$1,COUNTIF(Draft_Import!$D$2:'Draft_Import'!$D159,I$1),"")</f>
        <v/>
      </c>
      <c r="K159">
        <f>IF(Draft_Import!$D159=K$1,COUNTIF(Draft_Import!$D$2:'Draft_Import'!$D159,K$1),"")</f>
        <v/>
      </c>
      <c r="M159">
        <f>IF(Draft_Import!$D159=M$1,COUNTIF(Draft_Import!$D$2:'Draft_Import'!$D159,M$1),"")</f>
        <v/>
      </c>
      <c r="O159">
        <f>IF(Draft_Import!$D159=O$1,COUNTIF(Draft_Import!$D$2:'Draft_Import'!$D159,O$1),"")</f>
        <v/>
      </c>
      <c r="Q159">
        <f>IF(Draft_Import!$D159=Q$1,COUNTIF(Draft_Import!$D$2:'Draft_Import'!$D159,Q$1),"")</f>
        <v/>
      </c>
      <c r="S159">
        <f>IF(Draft_Import!$D159=S$1,COUNTIF(Draft_Import!$D$2:'Draft_Import'!$D159,S$1),"")</f>
        <v/>
      </c>
    </row>
    <row r="160">
      <c r="A160">
        <f>IF(Draft_Import!$D160=A$1,COUNTIF(Draft_Import!$D$2:'Draft_Import'!$D160,A$1),"")</f>
        <v/>
      </c>
      <c r="C160">
        <f>IF(Draft_Import!$D160=C$1,COUNTIF(Draft_Import!$D$2:'Draft_Import'!$D160,C$1),"")</f>
        <v/>
      </c>
      <c r="E160">
        <f>IF(Draft_Import!$D160=E$1,COUNTIF(Draft_Import!$D$2:'Draft_Import'!$D160,E$1),"")</f>
        <v/>
      </c>
      <c r="G160">
        <f>IF(Draft_Import!$D160=G$1,COUNTIF(Draft_Import!$D$2:'Draft_Import'!$D160,G$1),"")</f>
        <v/>
      </c>
      <c r="I160">
        <f>IF(Draft_Import!$D160=I$1,COUNTIF(Draft_Import!$D$2:'Draft_Import'!$D160,I$1),"")</f>
        <v/>
      </c>
      <c r="K160">
        <f>IF(Draft_Import!$D160=K$1,COUNTIF(Draft_Import!$D$2:'Draft_Import'!$D160,K$1),"")</f>
        <v/>
      </c>
      <c r="M160">
        <f>IF(Draft_Import!$D160=M$1,COUNTIF(Draft_Import!$D$2:'Draft_Import'!$D160,M$1),"")</f>
        <v/>
      </c>
      <c r="O160">
        <f>IF(Draft_Import!$D160=O$1,COUNTIF(Draft_Import!$D$2:'Draft_Import'!$D160,O$1),"")</f>
        <v/>
      </c>
      <c r="Q160">
        <f>IF(Draft_Import!$D160=Q$1,COUNTIF(Draft_Import!$D$2:'Draft_Import'!$D160,Q$1),"")</f>
        <v/>
      </c>
      <c r="S160">
        <f>IF(Draft_Import!$D160=S$1,COUNTIF(Draft_Import!$D$2:'Draft_Import'!$D160,S$1),"")</f>
        <v/>
      </c>
    </row>
    <row r="161">
      <c r="A161">
        <f>IF(Draft_Import!$D161=A$1,COUNTIF(Draft_Import!$D$2:'Draft_Import'!$D161,A$1),"")</f>
        <v/>
      </c>
      <c r="C161">
        <f>IF(Draft_Import!$D161=C$1,COUNTIF(Draft_Import!$D$2:'Draft_Import'!$D161,C$1),"")</f>
        <v/>
      </c>
      <c r="E161">
        <f>IF(Draft_Import!$D161=E$1,COUNTIF(Draft_Import!$D$2:'Draft_Import'!$D161,E$1),"")</f>
        <v/>
      </c>
      <c r="G161">
        <f>IF(Draft_Import!$D161=G$1,COUNTIF(Draft_Import!$D$2:'Draft_Import'!$D161,G$1),"")</f>
        <v/>
      </c>
      <c r="I161">
        <f>IF(Draft_Import!$D161=I$1,COUNTIF(Draft_Import!$D$2:'Draft_Import'!$D161,I$1),"")</f>
        <v/>
      </c>
      <c r="K161">
        <f>IF(Draft_Import!$D161=K$1,COUNTIF(Draft_Import!$D$2:'Draft_Import'!$D161,K$1),"")</f>
        <v/>
      </c>
      <c r="M161">
        <f>IF(Draft_Import!$D161=M$1,COUNTIF(Draft_Import!$D$2:'Draft_Import'!$D161,M$1),"")</f>
        <v/>
      </c>
      <c r="O161">
        <f>IF(Draft_Import!$D161=O$1,COUNTIF(Draft_Import!$D$2:'Draft_Import'!$D161,O$1),"")</f>
        <v/>
      </c>
      <c r="Q161">
        <f>IF(Draft_Import!$D161=Q$1,COUNTIF(Draft_Import!$D$2:'Draft_Import'!$D161,Q$1),"")</f>
        <v/>
      </c>
      <c r="S161">
        <f>IF(Draft_Import!$D161=S$1,COUNTIF(Draft_Import!$D$2:'Draft_Import'!$D161,S$1),"")</f>
        <v/>
      </c>
    </row>
    <row r="162">
      <c r="A162">
        <f>IF(Draft_Import!$D162=A$1,COUNTIF(Draft_Import!$D$2:'Draft_Import'!$D162,A$1),"")</f>
        <v/>
      </c>
      <c r="C162">
        <f>IF(Draft_Import!$D162=C$1,COUNTIF(Draft_Import!$D$2:'Draft_Import'!$D162,C$1),"")</f>
        <v/>
      </c>
      <c r="E162">
        <f>IF(Draft_Import!$D162=E$1,COUNTIF(Draft_Import!$D$2:'Draft_Import'!$D162,E$1),"")</f>
        <v/>
      </c>
      <c r="G162">
        <f>IF(Draft_Import!$D162=G$1,COUNTIF(Draft_Import!$D$2:'Draft_Import'!$D162,G$1),"")</f>
        <v/>
      </c>
      <c r="I162">
        <f>IF(Draft_Import!$D162=I$1,COUNTIF(Draft_Import!$D$2:'Draft_Import'!$D162,I$1),"")</f>
        <v/>
      </c>
      <c r="K162">
        <f>IF(Draft_Import!$D162=K$1,COUNTIF(Draft_Import!$D$2:'Draft_Import'!$D162,K$1),"")</f>
        <v/>
      </c>
      <c r="M162">
        <f>IF(Draft_Import!$D162=M$1,COUNTIF(Draft_Import!$D$2:'Draft_Import'!$D162,M$1),"")</f>
        <v/>
      </c>
      <c r="O162">
        <f>IF(Draft_Import!$D162=O$1,COUNTIF(Draft_Import!$D$2:'Draft_Import'!$D162,O$1),"")</f>
        <v/>
      </c>
      <c r="Q162">
        <f>IF(Draft_Import!$D162=Q$1,COUNTIF(Draft_Import!$D$2:'Draft_Import'!$D162,Q$1),"")</f>
        <v/>
      </c>
      <c r="S162">
        <f>IF(Draft_Import!$D162=S$1,COUNTIF(Draft_Import!$D$2:'Draft_Import'!$D162,S$1),"")</f>
        <v/>
      </c>
    </row>
    <row r="163">
      <c r="A163">
        <f>IF(Draft_Import!$D163=A$1,COUNTIF(Draft_Import!$D$2:'Draft_Import'!$D163,A$1),"")</f>
        <v/>
      </c>
      <c r="C163">
        <f>IF(Draft_Import!$D163=C$1,COUNTIF(Draft_Import!$D$2:'Draft_Import'!$D163,C$1),"")</f>
        <v/>
      </c>
      <c r="E163">
        <f>IF(Draft_Import!$D163=E$1,COUNTIF(Draft_Import!$D$2:'Draft_Import'!$D163,E$1),"")</f>
        <v/>
      </c>
      <c r="G163">
        <f>IF(Draft_Import!$D163=G$1,COUNTIF(Draft_Import!$D$2:'Draft_Import'!$D163,G$1),"")</f>
        <v/>
      </c>
      <c r="I163">
        <f>IF(Draft_Import!$D163=I$1,COUNTIF(Draft_Import!$D$2:'Draft_Import'!$D163,I$1),"")</f>
        <v/>
      </c>
      <c r="K163">
        <f>IF(Draft_Import!$D163=K$1,COUNTIF(Draft_Import!$D$2:'Draft_Import'!$D163,K$1),"")</f>
        <v/>
      </c>
      <c r="M163">
        <f>IF(Draft_Import!$D163=M$1,COUNTIF(Draft_Import!$D$2:'Draft_Import'!$D163,M$1),"")</f>
        <v/>
      </c>
      <c r="O163">
        <f>IF(Draft_Import!$D163=O$1,COUNTIF(Draft_Import!$D$2:'Draft_Import'!$D163,O$1),"")</f>
        <v/>
      </c>
      <c r="Q163">
        <f>IF(Draft_Import!$D163=Q$1,COUNTIF(Draft_Import!$D$2:'Draft_Import'!$D163,Q$1),"")</f>
        <v/>
      </c>
      <c r="S163">
        <f>IF(Draft_Import!$D163=S$1,COUNTIF(Draft_Import!$D$2:'Draft_Import'!$D163,S$1),"")</f>
        <v/>
      </c>
    </row>
    <row r="164">
      <c r="A164">
        <f>IF(Draft_Import!$D164=A$1,COUNTIF(Draft_Import!$D$2:'Draft_Import'!$D164,A$1),"")</f>
        <v/>
      </c>
      <c r="C164">
        <f>IF(Draft_Import!$D164=C$1,COUNTIF(Draft_Import!$D$2:'Draft_Import'!$D164,C$1),"")</f>
        <v/>
      </c>
      <c r="E164">
        <f>IF(Draft_Import!$D164=E$1,COUNTIF(Draft_Import!$D$2:'Draft_Import'!$D164,E$1),"")</f>
        <v/>
      </c>
      <c r="G164">
        <f>IF(Draft_Import!$D164=G$1,COUNTIF(Draft_Import!$D$2:'Draft_Import'!$D164,G$1),"")</f>
        <v/>
      </c>
      <c r="I164">
        <f>IF(Draft_Import!$D164=I$1,COUNTIF(Draft_Import!$D$2:'Draft_Import'!$D164,I$1),"")</f>
        <v/>
      </c>
      <c r="K164">
        <f>IF(Draft_Import!$D164=K$1,COUNTIF(Draft_Import!$D$2:'Draft_Import'!$D164,K$1),"")</f>
        <v/>
      </c>
      <c r="M164">
        <f>IF(Draft_Import!$D164=M$1,COUNTIF(Draft_Import!$D$2:'Draft_Import'!$D164,M$1),"")</f>
        <v/>
      </c>
      <c r="O164">
        <f>IF(Draft_Import!$D164=O$1,COUNTIF(Draft_Import!$D$2:'Draft_Import'!$D164,O$1),"")</f>
        <v/>
      </c>
      <c r="Q164">
        <f>IF(Draft_Import!$D164=Q$1,COUNTIF(Draft_Import!$D$2:'Draft_Import'!$D164,Q$1),"")</f>
        <v/>
      </c>
      <c r="S164">
        <f>IF(Draft_Import!$D164=S$1,COUNTIF(Draft_Import!$D$2:'Draft_Import'!$D164,S$1),"")</f>
        <v/>
      </c>
    </row>
    <row r="165">
      <c r="A165">
        <f>IF(Draft_Import!$D165=A$1,COUNTIF(Draft_Import!$D$2:'Draft_Import'!$D165,A$1),"")</f>
        <v/>
      </c>
      <c r="C165">
        <f>IF(Draft_Import!$D165=C$1,COUNTIF(Draft_Import!$D$2:'Draft_Import'!$D165,C$1),"")</f>
        <v/>
      </c>
      <c r="E165">
        <f>IF(Draft_Import!$D165=E$1,COUNTIF(Draft_Import!$D$2:'Draft_Import'!$D165,E$1),"")</f>
        <v/>
      </c>
      <c r="G165">
        <f>IF(Draft_Import!$D165=G$1,COUNTIF(Draft_Import!$D$2:'Draft_Import'!$D165,G$1),"")</f>
        <v/>
      </c>
      <c r="I165">
        <f>IF(Draft_Import!$D165=I$1,COUNTIF(Draft_Import!$D$2:'Draft_Import'!$D165,I$1),"")</f>
        <v/>
      </c>
      <c r="K165">
        <f>IF(Draft_Import!$D165=K$1,COUNTIF(Draft_Import!$D$2:'Draft_Import'!$D165,K$1),"")</f>
        <v/>
      </c>
      <c r="M165">
        <f>IF(Draft_Import!$D165=M$1,COUNTIF(Draft_Import!$D$2:'Draft_Import'!$D165,M$1),"")</f>
        <v/>
      </c>
      <c r="O165">
        <f>IF(Draft_Import!$D165=O$1,COUNTIF(Draft_Import!$D$2:'Draft_Import'!$D165,O$1),"")</f>
        <v/>
      </c>
      <c r="Q165">
        <f>IF(Draft_Import!$D165=Q$1,COUNTIF(Draft_Import!$D$2:'Draft_Import'!$D165,Q$1),"")</f>
        <v/>
      </c>
      <c r="S165">
        <f>IF(Draft_Import!$D165=S$1,COUNTIF(Draft_Import!$D$2:'Draft_Import'!$D165,S$1),"")</f>
        <v/>
      </c>
    </row>
    <row r="166">
      <c r="A166">
        <f>IF(Draft_Import!$D166=A$1,COUNTIF(Draft_Import!$D$2:'Draft_Import'!$D166,A$1),"")</f>
        <v/>
      </c>
      <c r="C166">
        <f>IF(Draft_Import!$D166=C$1,COUNTIF(Draft_Import!$D$2:'Draft_Import'!$D166,C$1),"")</f>
        <v/>
      </c>
      <c r="E166">
        <f>IF(Draft_Import!$D166=E$1,COUNTIF(Draft_Import!$D$2:'Draft_Import'!$D166,E$1),"")</f>
        <v/>
      </c>
      <c r="G166">
        <f>IF(Draft_Import!$D166=G$1,COUNTIF(Draft_Import!$D$2:'Draft_Import'!$D166,G$1),"")</f>
        <v/>
      </c>
      <c r="I166">
        <f>IF(Draft_Import!$D166=I$1,COUNTIF(Draft_Import!$D$2:'Draft_Import'!$D166,I$1),"")</f>
        <v/>
      </c>
      <c r="K166">
        <f>IF(Draft_Import!$D166=K$1,COUNTIF(Draft_Import!$D$2:'Draft_Import'!$D166,K$1),"")</f>
        <v/>
      </c>
      <c r="M166">
        <f>IF(Draft_Import!$D166=M$1,COUNTIF(Draft_Import!$D$2:'Draft_Import'!$D166,M$1),"")</f>
        <v/>
      </c>
      <c r="O166">
        <f>IF(Draft_Import!$D166=O$1,COUNTIF(Draft_Import!$D$2:'Draft_Import'!$D166,O$1),"")</f>
        <v/>
      </c>
      <c r="Q166">
        <f>IF(Draft_Import!$D166=Q$1,COUNTIF(Draft_Import!$D$2:'Draft_Import'!$D166,Q$1),"")</f>
        <v/>
      </c>
      <c r="S166">
        <f>IF(Draft_Import!$D166=S$1,COUNTIF(Draft_Import!$D$2:'Draft_Import'!$D166,S$1),"")</f>
        <v/>
      </c>
    </row>
    <row r="167">
      <c r="A167">
        <f>IF(Draft_Import!$D167=A$1,COUNTIF(Draft_Import!$D$2:'Draft_Import'!$D167,A$1),"")</f>
        <v/>
      </c>
      <c r="C167">
        <f>IF(Draft_Import!$D167=C$1,COUNTIF(Draft_Import!$D$2:'Draft_Import'!$D167,C$1),"")</f>
        <v/>
      </c>
      <c r="E167">
        <f>IF(Draft_Import!$D167=E$1,COUNTIF(Draft_Import!$D$2:'Draft_Import'!$D167,E$1),"")</f>
        <v/>
      </c>
      <c r="G167">
        <f>IF(Draft_Import!$D167=G$1,COUNTIF(Draft_Import!$D$2:'Draft_Import'!$D167,G$1),"")</f>
        <v/>
      </c>
      <c r="I167">
        <f>IF(Draft_Import!$D167=I$1,COUNTIF(Draft_Import!$D$2:'Draft_Import'!$D167,I$1),"")</f>
        <v/>
      </c>
      <c r="K167">
        <f>IF(Draft_Import!$D167=K$1,COUNTIF(Draft_Import!$D$2:'Draft_Import'!$D167,K$1),"")</f>
        <v/>
      </c>
      <c r="M167">
        <f>IF(Draft_Import!$D167=M$1,COUNTIF(Draft_Import!$D$2:'Draft_Import'!$D167,M$1),"")</f>
        <v/>
      </c>
      <c r="O167">
        <f>IF(Draft_Import!$D167=O$1,COUNTIF(Draft_Import!$D$2:'Draft_Import'!$D167,O$1),"")</f>
        <v/>
      </c>
      <c r="Q167">
        <f>IF(Draft_Import!$D167=Q$1,COUNTIF(Draft_Import!$D$2:'Draft_Import'!$D167,Q$1),"")</f>
        <v/>
      </c>
      <c r="S167">
        <f>IF(Draft_Import!$D167=S$1,COUNTIF(Draft_Import!$D$2:'Draft_Import'!$D167,S$1),"")</f>
        <v/>
      </c>
    </row>
    <row r="168">
      <c r="A168">
        <f>IF(Draft_Import!$D168=A$1,COUNTIF(Draft_Import!$D$2:'Draft_Import'!$D168,A$1),"")</f>
        <v/>
      </c>
      <c r="C168">
        <f>IF(Draft_Import!$D168=C$1,COUNTIF(Draft_Import!$D$2:'Draft_Import'!$D168,C$1),"")</f>
        <v/>
      </c>
      <c r="E168">
        <f>IF(Draft_Import!$D168=E$1,COUNTIF(Draft_Import!$D$2:'Draft_Import'!$D168,E$1),"")</f>
        <v/>
      </c>
      <c r="G168">
        <f>IF(Draft_Import!$D168=G$1,COUNTIF(Draft_Import!$D$2:'Draft_Import'!$D168,G$1),"")</f>
        <v/>
      </c>
      <c r="I168">
        <f>IF(Draft_Import!$D168=I$1,COUNTIF(Draft_Import!$D$2:'Draft_Import'!$D168,I$1),"")</f>
        <v/>
      </c>
      <c r="K168">
        <f>IF(Draft_Import!$D168=K$1,COUNTIF(Draft_Import!$D$2:'Draft_Import'!$D168,K$1),"")</f>
        <v/>
      </c>
      <c r="M168">
        <f>IF(Draft_Import!$D168=M$1,COUNTIF(Draft_Import!$D$2:'Draft_Import'!$D168,M$1),"")</f>
        <v/>
      </c>
      <c r="O168">
        <f>IF(Draft_Import!$D168=O$1,COUNTIF(Draft_Import!$D$2:'Draft_Import'!$D168,O$1),"")</f>
        <v/>
      </c>
      <c r="Q168">
        <f>IF(Draft_Import!$D168=Q$1,COUNTIF(Draft_Import!$D$2:'Draft_Import'!$D168,Q$1),"")</f>
        <v/>
      </c>
      <c r="S168">
        <f>IF(Draft_Import!$D168=S$1,COUNTIF(Draft_Import!$D$2:'Draft_Import'!$D168,S$1),"")</f>
        <v/>
      </c>
    </row>
    <row r="169">
      <c r="A169">
        <f>IF(Draft_Import!$D169=A$1,COUNTIF(Draft_Import!$D$2:'Draft_Import'!$D169,A$1),"")</f>
        <v/>
      </c>
      <c r="C169">
        <f>IF(Draft_Import!$D169=C$1,COUNTIF(Draft_Import!$D$2:'Draft_Import'!$D169,C$1),"")</f>
        <v/>
      </c>
      <c r="E169">
        <f>IF(Draft_Import!$D169=E$1,COUNTIF(Draft_Import!$D$2:'Draft_Import'!$D169,E$1),"")</f>
        <v/>
      </c>
      <c r="G169">
        <f>IF(Draft_Import!$D169=G$1,COUNTIF(Draft_Import!$D$2:'Draft_Import'!$D169,G$1),"")</f>
        <v/>
      </c>
      <c r="I169">
        <f>IF(Draft_Import!$D169=I$1,COUNTIF(Draft_Import!$D$2:'Draft_Import'!$D169,I$1),"")</f>
        <v/>
      </c>
      <c r="K169">
        <f>IF(Draft_Import!$D169=K$1,COUNTIF(Draft_Import!$D$2:'Draft_Import'!$D169,K$1),"")</f>
        <v/>
      </c>
      <c r="M169">
        <f>IF(Draft_Import!$D169=M$1,COUNTIF(Draft_Import!$D$2:'Draft_Import'!$D169,M$1),"")</f>
        <v/>
      </c>
      <c r="O169">
        <f>IF(Draft_Import!$D169=O$1,COUNTIF(Draft_Import!$D$2:'Draft_Import'!$D169,O$1),"")</f>
        <v/>
      </c>
      <c r="Q169">
        <f>IF(Draft_Import!$D169=Q$1,COUNTIF(Draft_Import!$D$2:'Draft_Import'!$D169,Q$1),"")</f>
        <v/>
      </c>
      <c r="S169">
        <f>IF(Draft_Import!$D169=S$1,COUNTIF(Draft_Import!$D$2:'Draft_Import'!$D169,S$1),"")</f>
        <v/>
      </c>
    </row>
    <row r="170">
      <c r="A170">
        <f>IF(Draft_Import!$D170=A$1,COUNTIF(Draft_Import!$D$2:'Draft_Import'!$D170,A$1),"")</f>
        <v/>
      </c>
      <c r="C170">
        <f>IF(Draft_Import!$D170=C$1,COUNTIF(Draft_Import!$D$2:'Draft_Import'!$D170,C$1),"")</f>
        <v/>
      </c>
      <c r="E170">
        <f>IF(Draft_Import!$D170=E$1,COUNTIF(Draft_Import!$D$2:'Draft_Import'!$D170,E$1),"")</f>
        <v/>
      </c>
      <c r="G170">
        <f>IF(Draft_Import!$D170=G$1,COUNTIF(Draft_Import!$D$2:'Draft_Import'!$D170,G$1),"")</f>
        <v/>
      </c>
      <c r="I170">
        <f>IF(Draft_Import!$D170=I$1,COUNTIF(Draft_Import!$D$2:'Draft_Import'!$D170,I$1),"")</f>
        <v/>
      </c>
      <c r="K170">
        <f>IF(Draft_Import!$D170=K$1,COUNTIF(Draft_Import!$D$2:'Draft_Import'!$D170,K$1),"")</f>
        <v/>
      </c>
      <c r="M170">
        <f>IF(Draft_Import!$D170=M$1,COUNTIF(Draft_Import!$D$2:'Draft_Import'!$D170,M$1),"")</f>
        <v/>
      </c>
      <c r="O170">
        <f>IF(Draft_Import!$D170=O$1,COUNTIF(Draft_Import!$D$2:'Draft_Import'!$D170,O$1),"")</f>
        <v/>
      </c>
      <c r="Q170">
        <f>IF(Draft_Import!$D170=Q$1,COUNTIF(Draft_Import!$D$2:'Draft_Import'!$D170,Q$1),"")</f>
        <v/>
      </c>
      <c r="S170">
        <f>IF(Draft_Import!$D170=S$1,COUNTIF(Draft_Import!$D$2:'Draft_Import'!$D170,S$1),"")</f>
        <v/>
      </c>
    </row>
    <row r="171">
      <c r="A171">
        <f>IF(Draft_Import!$D171=A$1,COUNTIF(Draft_Import!$D$2:'Draft_Import'!$D171,A$1),"")</f>
        <v/>
      </c>
      <c r="C171">
        <f>IF(Draft_Import!$D171=C$1,COUNTIF(Draft_Import!$D$2:'Draft_Import'!$D171,C$1),"")</f>
        <v/>
      </c>
      <c r="E171">
        <f>IF(Draft_Import!$D171=E$1,COUNTIF(Draft_Import!$D$2:'Draft_Import'!$D171,E$1),"")</f>
        <v/>
      </c>
      <c r="G171">
        <f>IF(Draft_Import!$D171=G$1,COUNTIF(Draft_Import!$D$2:'Draft_Import'!$D171,G$1),"")</f>
        <v/>
      </c>
      <c r="I171">
        <f>IF(Draft_Import!$D171=I$1,COUNTIF(Draft_Import!$D$2:'Draft_Import'!$D171,I$1),"")</f>
        <v/>
      </c>
      <c r="K171">
        <f>IF(Draft_Import!$D171=K$1,COUNTIF(Draft_Import!$D$2:'Draft_Import'!$D171,K$1),"")</f>
        <v/>
      </c>
      <c r="M171">
        <f>IF(Draft_Import!$D171=M$1,COUNTIF(Draft_Import!$D$2:'Draft_Import'!$D171,M$1),"")</f>
        <v/>
      </c>
      <c r="O171">
        <f>IF(Draft_Import!$D171=O$1,COUNTIF(Draft_Import!$D$2:'Draft_Import'!$D171,O$1),"")</f>
        <v/>
      </c>
      <c r="Q171">
        <f>IF(Draft_Import!$D171=Q$1,COUNTIF(Draft_Import!$D$2:'Draft_Import'!$D171,Q$1),"")</f>
        <v/>
      </c>
      <c r="S171">
        <f>IF(Draft_Import!$D171=S$1,COUNTIF(Draft_Import!$D$2:'Draft_Import'!$D171,S$1),"")</f>
        <v/>
      </c>
    </row>
    <row r="172">
      <c r="A172">
        <f>IF(Draft_Import!$D172=A$1,COUNTIF(Draft_Import!$D$2:'Draft_Import'!$D172,A$1),"")</f>
        <v/>
      </c>
      <c r="C172">
        <f>IF(Draft_Import!$D172=C$1,COUNTIF(Draft_Import!$D$2:'Draft_Import'!$D172,C$1),"")</f>
        <v/>
      </c>
      <c r="E172">
        <f>IF(Draft_Import!$D172=E$1,COUNTIF(Draft_Import!$D$2:'Draft_Import'!$D172,E$1),"")</f>
        <v/>
      </c>
      <c r="G172">
        <f>IF(Draft_Import!$D172=G$1,COUNTIF(Draft_Import!$D$2:'Draft_Import'!$D172,G$1),"")</f>
        <v/>
      </c>
      <c r="I172">
        <f>IF(Draft_Import!$D172=I$1,COUNTIF(Draft_Import!$D$2:'Draft_Import'!$D172,I$1),"")</f>
        <v/>
      </c>
      <c r="K172">
        <f>IF(Draft_Import!$D172=K$1,COUNTIF(Draft_Import!$D$2:'Draft_Import'!$D172,K$1),"")</f>
        <v/>
      </c>
      <c r="M172">
        <f>IF(Draft_Import!$D172=M$1,COUNTIF(Draft_Import!$D$2:'Draft_Import'!$D172,M$1),"")</f>
        <v/>
      </c>
      <c r="O172">
        <f>IF(Draft_Import!$D172=O$1,COUNTIF(Draft_Import!$D$2:'Draft_Import'!$D172,O$1),"")</f>
        <v/>
      </c>
      <c r="Q172">
        <f>IF(Draft_Import!$D172=Q$1,COUNTIF(Draft_Import!$D$2:'Draft_Import'!$D172,Q$1),"")</f>
        <v/>
      </c>
      <c r="S172">
        <f>IF(Draft_Import!$D172=S$1,COUNTIF(Draft_Import!$D$2:'Draft_Import'!$D172,S$1),"")</f>
        <v/>
      </c>
    </row>
    <row r="173">
      <c r="A173">
        <f>IF(Draft_Import!$D173=A$1,COUNTIF(Draft_Import!$D$2:'Draft_Import'!$D173,A$1),"")</f>
        <v/>
      </c>
      <c r="C173">
        <f>IF(Draft_Import!$D173=C$1,COUNTIF(Draft_Import!$D$2:'Draft_Import'!$D173,C$1),"")</f>
        <v/>
      </c>
      <c r="E173">
        <f>IF(Draft_Import!$D173=E$1,COUNTIF(Draft_Import!$D$2:'Draft_Import'!$D173,E$1),"")</f>
        <v/>
      </c>
      <c r="G173">
        <f>IF(Draft_Import!$D173=G$1,COUNTIF(Draft_Import!$D$2:'Draft_Import'!$D173,G$1),"")</f>
        <v/>
      </c>
      <c r="I173">
        <f>IF(Draft_Import!$D173=I$1,COUNTIF(Draft_Import!$D$2:'Draft_Import'!$D173,I$1),"")</f>
        <v/>
      </c>
      <c r="K173">
        <f>IF(Draft_Import!$D173=K$1,COUNTIF(Draft_Import!$D$2:'Draft_Import'!$D173,K$1),"")</f>
        <v/>
      </c>
      <c r="M173">
        <f>IF(Draft_Import!$D173=M$1,COUNTIF(Draft_Import!$D$2:'Draft_Import'!$D173,M$1),"")</f>
        <v/>
      </c>
      <c r="O173">
        <f>IF(Draft_Import!$D173=O$1,COUNTIF(Draft_Import!$D$2:'Draft_Import'!$D173,O$1),"")</f>
        <v/>
      </c>
      <c r="Q173">
        <f>IF(Draft_Import!$D173=Q$1,COUNTIF(Draft_Import!$D$2:'Draft_Import'!$D173,Q$1),"")</f>
        <v/>
      </c>
      <c r="S173">
        <f>IF(Draft_Import!$D173=S$1,COUNTIF(Draft_Import!$D$2:'Draft_Import'!$D173,S$1),"")</f>
        <v/>
      </c>
    </row>
    <row r="174">
      <c r="A174">
        <f>IF(Draft_Import!$D174=A$1,COUNTIF(Draft_Import!$D$2:'Draft_Import'!$D174,A$1),"")</f>
        <v/>
      </c>
      <c r="C174">
        <f>IF(Draft_Import!$D174=C$1,COUNTIF(Draft_Import!$D$2:'Draft_Import'!$D174,C$1),"")</f>
        <v/>
      </c>
      <c r="E174">
        <f>IF(Draft_Import!$D174=E$1,COUNTIF(Draft_Import!$D$2:'Draft_Import'!$D174,E$1),"")</f>
        <v/>
      </c>
      <c r="G174">
        <f>IF(Draft_Import!$D174=G$1,COUNTIF(Draft_Import!$D$2:'Draft_Import'!$D174,G$1),"")</f>
        <v/>
      </c>
      <c r="I174">
        <f>IF(Draft_Import!$D174=I$1,COUNTIF(Draft_Import!$D$2:'Draft_Import'!$D174,I$1),"")</f>
        <v/>
      </c>
      <c r="K174">
        <f>IF(Draft_Import!$D174=K$1,COUNTIF(Draft_Import!$D$2:'Draft_Import'!$D174,K$1),"")</f>
        <v/>
      </c>
      <c r="M174">
        <f>IF(Draft_Import!$D174=M$1,COUNTIF(Draft_Import!$D$2:'Draft_Import'!$D174,M$1),"")</f>
        <v/>
      </c>
      <c r="O174">
        <f>IF(Draft_Import!$D174=O$1,COUNTIF(Draft_Import!$D$2:'Draft_Import'!$D174,O$1),"")</f>
        <v/>
      </c>
      <c r="Q174">
        <f>IF(Draft_Import!$D174=Q$1,COUNTIF(Draft_Import!$D$2:'Draft_Import'!$D174,Q$1),"")</f>
        <v/>
      </c>
      <c r="S174">
        <f>IF(Draft_Import!$D174=S$1,COUNTIF(Draft_Import!$D$2:'Draft_Import'!$D174,S$1),"")</f>
        <v/>
      </c>
    </row>
    <row r="175">
      <c r="A175">
        <f>IF(Draft_Import!$D175=A$1,COUNTIF(Draft_Import!$D$2:'Draft_Import'!$D175,A$1),"")</f>
        <v/>
      </c>
      <c r="C175">
        <f>IF(Draft_Import!$D175=C$1,COUNTIF(Draft_Import!$D$2:'Draft_Import'!$D175,C$1),"")</f>
        <v/>
      </c>
      <c r="E175">
        <f>IF(Draft_Import!$D175=E$1,COUNTIF(Draft_Import!$D$2:'Draft_Import'!$D175,E$1),"")</f>
        <v/>
      </c>
      <c r="G175">
        <f>IF(Draft_Import!$D175=G$1,COUNTIF(Draft_Import!$D$2:'Draft_Import'!$D175,G$1),"")</f>
        <v/>
      </c>
      <c r="I175">
        <f>IF(Draft_Import!$D175=I$1,COUNTIF(Draft_Import!$D$2:'Draft_Import'!$D175,I$1),"")</f>
        <v/>
      </c>
      <c r="K175">
        <f>IF(Draft_Import!$D175=K$1,COUNTIF(Draft_Import!$D$2:'Draft_Import'!$D175,K$1),"")</f>
        <v/>
      </c>
      <c r="M175">
        <f>IF(Draft_Import!$D175=M$1,COUNTIF(Draft_Import!$D$2:'Draft_Import'!$D175,M$1),"")</f>
        <v/>
      </c>
      <c r="O175">
        <f>IF(Draft_Import!$D175=O$1,COUNTIF(Draft_Import!$D$2:'Draft_Import'!$D175,O$1),"")</f>
        <v/>
      </c>
      <c r="Q175">
        <f>IF(Draft_Import!$D175=Q$1,COUNTIF(Draft_Import!$D$2:'Draft_Import'!$D175,Q$1),"")</f>
        <v/>
      </c>
      <c r="S175">
        <f>IF(Draft_Import!$D175=S$1,COUNTIF(Draft_Import!$D$2:'Draft_Import'!$D175,S$1),"")</f>
        <v/>
      </c>
    </row>
    <row r="176">
      <c r="A176">
        <f>IF(Draft_Import!$D176=A$1,COUNTIF(Draft_Import!$D$2:'Draft_Import'!$D176,A$1),"")</f>
        <v/>
      </c>
      <c r="C176">
        <f>IF(Draft_Import!$D176=C$1,COUNTIF(Draft_Import!$D$2:'Draft_Import'!$D176,C$1),"")</f>
        <v/>
      </c>
      <c r="E176">
        <f>IF(Draft_Import!$D176=E$1,COUNTIF(Draft_Import!$D$2:'Draft_Import'!$D176,E$1),"")</f>
        <v/>
      </c>
      <c r="G176">
        <f>IF(Draft_Import!$D176=G$1,COUNTIF(Draft_Import!$D$2:'Draft_Import'!$D176,G$1),"")</f>
        <v/>
      </c>
      <c r="I176">
        <f>IF(Draft_Import!$D176=I$1,COUNTIF(Draft_Import!$D$2:'Draft_Import'!$D176,I$1),"")</f>
        <v/>
      </c>
      <c r="K176">
        <f>IF(Draft_Import!$D176=K$1,COUNTIF(Draft_Import!$D$2:'Draft_Import'!$D176,K$1),"")</f>
        <v/>
      </c>
      <c r="M176">
        <f>IF(Draft_Import!$D176=M$1,COUNTIF(Draft_Import!$D$2:'Draft_Import'!$D176,M$1),"")</f>
        <v/>
      </c>
      <c r="O176">
        <f>IF(Draft_Import!$D176=O$1,COUNTIF(Draft_Import!$D$2:'Draft_Import'!$D176,O$1),"")</f>
        <v/>
      </c>
      <c r="Q176">
        <f>IF(Draft_Import!$D176=Q$1,COUNTIF(Draft_Import!$D$2:'Draft_Import'!$D176,Q$1),"")</f>
        <v/>
      </c>
      <c r="S176">
        <f>IF(Draft_Import!$D176=S$1,COUNTIF(Draft_Import!$D$2:'Draft_Import'!$D176,S$1),"")</f>
        <v/>
      </c>
    </row>
    <row r="177">
      <c r="A177">
        <f>IF(Draft_Import!$D177=A$1,COUNTIF(Draft_Import!$D$2:'Draft_Import'!$D177,A$1),"")</f>
        <v/>
      </c>
      <c r="C177">
        <f>IF(Draft_Import!$D177=C$1,COUNTIF(Draft_Import!$D$2:'Draft_Import'!$D177,C$1),"")</f>
        <v/>
      </c>
      <c r="E177">
        <f>IF(Draft_Import!$D177=E$1,COUNTIF(Draft_Import!$D$2:'Draft_Import'!$D177,E$1),"")</f>
        <v/>
      </c>
      <c r="G177">
        <f>IF(Draft_Import!$D177=G$1,COUNTIF(Draft_Import!$D$2:'Draft_Import'!$D177,G$1),"")</f>
        <v/>
      </c>
      <c r="I177">
        <f>IF(Draft_Import!$D177=I$1,COUNTIF(Draft_Import!$D$2:'Draft_Import'!$D177,I$1),"")</f>
        <v/>
      </c>
      <c r="K177">
        <f>IF(Draft_Import!$D177=K$1,COUNTIF(Draft_Import!$D$2:'Draft_Import'!$D177,K$1),"")</f>
        <v/>
      </c>
      <c r="M177">
        <f>IF(Draft_Import!$D177=M$1,COUNTIF(Draft_Import!$D$2:'Draft_Import'!$D177,M$1),"")</f>
        <v/>
      </c>
      <c r="O177">
        <f>IF(Draft_Import!$D177=O$1,COUNTIF(Draft_Import!$D$2:'Draft_Import'!$D177,O$1),"")</f>
        <v/>
      </c>
      <c r="Q177">
        <f>IF(Draft_Import!$D177=Q$1,COUNTIF(Draft_Import!$D$2:'Draft_Import'!$D177,Q$1),"")</f>
        <v/>
      </c>
      <c r="S177">
        <f>IF(Draft_Import!$D177=S$1,COUNTIF(Draft_Import!$D$2:'Draft_Import'!$D177,S$1),"")</f>
        <v/>
      </c>
    </row>
    <row r="178">
      <c r="A178">
        <f>IF(Draft_Import!$D178=A$1,COUNTIF(Draft_Import!$D$2:'Draft_Import'!$D178,A$1),"")</f>
        <v/>
      </c>
      <c r="C178">
        <f>IF(Draft_Import!$D178=C$1,COUNTIF(Draft_Import!$D$2:'Draft_Import'!$D178,C$1),"")</f>
        <v/>
      </c>
      <c r="E178">
        <f>IF(Draft_Import!$D178=E$1,COUNTIF(Draft_Import!$D$2:'Draft_Import'!$D178,E$1),"")</f>
        <v/>
      </c>
      <c r="G178">
        <f>IF(Draft_Import!$D178=G$1,COUNTIF(Draft_Import!$D$2:'Draft_Import'!$D178,G$1),"")</f>
        <v/>
      </c>
      <c r="I178">
        <f>IF(Draft_Import!$D178=I$1,COUNTIF(Draft_Import!$D$2:'Draft_Import'!$D178,I$1),"")</f>
        <v/>
      </c>
      <c r="K178">
        <f>IF(Draft_Import!$D178=K$1,COUNTIF(Draft_Import!$D$2:'Draft_Import'!$D178,K$1),"")</f>
        <v/>
      </c>
      <c r="M178">
        <f>IF(Draft_Import!$D178=M$1,COUNTIF(Draft_Import!$D$2:'Draft_Import'!$D178,M$1),"")</f>
        <v/>
      </c>
      <c r="O178">
        <f>IF(Draft_Import!$D178=O$1,COUNTIF(Draft_Import!$D$2:'Draft_Import'!$D178,O$1),"")</f>
        <v/>
      </c>
      <c r="Q178">
        <f>IF(Draft_Import!$D178=Q$1,COUNTIF(Draft_Import!$D$2:'Draft_Import'!$D178,Q$1),"")</f>
        <v/>
      </c>
      <c r="S178">
        <f>IF(Draft_Import!$D178=S$1,COUNTIF(Draft_Import!$D$2:'Draft_Import'!$D178,S$1),"")</f>
        <v/>
      </c>
    </row>
    <row r="179">
      <c r="A179">
        <f>IF(Draft_Import!$D179=A$1,COUNTIF(Draft_Import!$D$2:'Draft_Import'!$D179,A$1),"")</f>
        <v/>
      </c>
      <c r="C179">
        <f>IF(Draft_Import!$D179=C$1,COUNTIF(Draft_Import!$D$2:'Draft_Import'!$D179,C$1),"")</f>
        <v/>
      </c>
      <c r="E179">
        <f>IF(Draft_Import!$D179=E$1,COUNTIF(Draft_Import!$D$2:'Draft_Import'!$D179,E$1),"")</f>
        <v/>
      </c>
      <c r="G179">
        <f>IF(Draft_Import!$D179=G$1,COUNTIF(Draft_Import!$D$2:'Draft_Import'!$D179,G$1),"")</f>
        <v/>
      </c>
      <c r="I179">
        <f>IF(Draft_Import!$D179=I$1,COUNTIF(Draft_Import!$D$2:'Draft_Import'!$D179,I$1),"")</f>
        <v/>
      </c>
      <c r="K179">
        <f>IF(Draft_Import!$D179=K$1,COUNTIF(Draft_Import!$D$2:'Draft_Import'!$D179,K$1),"")</f>
        <v/>
      </c>
      <c r="M179">
        <f>IF(Draft_Import!$D179=M$1,COUNTIF(Draft_Import!$D$2:'Draft_Import'!$D179,M$1),"")</f>
        <v/>
      </c>
      <c r="O179">
        <f>IF(Draft_Import!$D179=O$1,COUNTIF(Draft_Import!$D$2:'Draft_Import'!$D179,O$1),"")</f>
        <v/>
      </c>
      <c r="Q179">
        <f>IF(Draft_Import!$D179=Q$1,COUNTIF(Draft_Import!$D$2:'Draft_Import'!$D179,Q$1),"")</f>
        <v/>
      </c>
      <c r="S179">
        <f>IF(Draft_Import!$D179=S$1,COUNTIF(Draft_Import!$D$2:'Draft_Import'!$D179,S$1),"")</f>
        <v/>
      </c>
    </row>
    <row r="180">
      <c r="A180">
        <f>IF(Draft_Import!$D180=A$1,COUNTIF(Draft_Import!$D$2:'Draft_Import'!$D180,A$1),"")</f>
        <v/>
      </c>
      <c r="C180">
        <f>IF(Draft_Import!$D180=C$1,COUNTIF(Draft_Import!$D$2:'Draft_Import'!$D180,C$1),"")</f>
        <v/>
      </c>
      <c r="E180">
        <f>IF(Draft_Import!$D180=E$1,COUNTIF(Draft_Import!$D$2:'Draft_Import'!$D180,E$1),"")</f>
        <v/>
      </c>
      <c r="G180">
        <f>IF(Draft_Import!$D180=G$1,COUNTIF(Draft_Import!$D$2:'Draft_Import'!$D180,G$1),"")</f>
        <v/>
      </c>
      <c r="I180">
        <f>IF(Draft_Import!$D180=I$1,COUNTIF(Draft_Import!$D$2:'Draft_Import'!$D180,I$1),"")</f>
        <v/>
      </c>
      <c r="K180">
        <f>IF(Draft_Import!$D180=K$1,COUNTIF(Draft_Import!$D$2:'Draft_Import'!$D180,K$1),"")</f>
        <v/>
      </c>
      <c r="M180">
        <f>IF(Draft_Import!$D180=M$1,COUNTIF(Draft_Import!$D$2:'Draft_Import'!$D180,M$1),"")</f>
        <v/>
      </c>
      <c r="O180">
        <f>IF(Draft_Import!$D180=O$1,COUNTIF(Draft_Import!$D$2:'Draft_Import'!$D180,O$1),"")</f>
        <v/>
      </c>
      <c r="Q180">
        <f>IF(Draft_Import!$D180=Q$1,COUNTIF(Draft_Import!$D$2:'Draft_Import'!$D180,Q$1),"")</f>
        <v/>
      </c>
      <c r="S180">
        <f>IF(Draft_Import!$D180=S$1,COUNTIF(Draft_Import!$D$2:'Draft_Import'!$D180,S$1),"")</f>
        <v/>
      </c>
    </row>
    <row r="181">
      <c r="A181">
        <f>IF(Draft_Import!$D181=A$1,COUNTIF(Draft_Import!$D$2:'Draft_Import'!$D181,A$1),"")</f>
        <v/>
      </c>
      <c r="C181">
        <f>IF(Draft_Import!$D181=C$1,COUNTIF(Draft_Import!$D$2:'Draft_Import'!$D181,C$1),"")</f>
        <v/>
      </c>
      <c r="E181">
        <f>IF(Draft_Import!$D181=E$1,COUNTIF(Draft_Import!$D$2:'Draft_Import'!$D181,E$1),"")</f>
        <v/>
      </c>
      <c r="G181">
        <f>IF(Draft_Import!$D181=G$1,COUNTIF(Draft_Import!$D$2:'Draft_Import'!$D181,G$1),"")</f>
        <v/>
      </c>
      <c r="I181">
        <f>IF(Draft_Import!$D181=I$1,COUNTIF(Draft_Import!$D$2:'Draft_Import'!$D181,I$1),"")</f>
        <v/>
      </c>
      <c r="K181">
        <f>IF(Draft_Import!$D181=K$1,COUNTIF(Draft_Import!$D$2:'Draft_Import'!$D181,K$1),"")</f>
        <v/>
      </c>
      <c r="M181">
        <f>IF(Draft_Import!$D181=M$1,COUNTIF(Draft_Import!$D$2:'Draft_Import'!$D181,M$1),"")</f>
        <v/>
      </c>
      <c r="O181">
        <f>IF(Draft_Import!$D181=O$1,COUNTIF(Draft_Import!$D$2:'Draft_Import'!$D181,O$1),"")</f>
        <v/>
      </c>
      <c r="Q181">
        <f>IF(Draft_Import!$D181=Q$1,COUNTIF(Draft_Import!$D$2:'Draft_Import'!$D181,Q$1),"")</f>
        <v/>
      </c>
      <c r="S181">
        <f>IF(Draft_Import!$D181=S$1,COUNTIF(Draft_Import!$D$2:'Draft_Import'!$D181,S$1),"")</f>
        <v/>
      </c>
    </row>
    <row r="182">
      <c r="A182">
        <f>IF(Draft_Import!$D182=A$1,COUNTIF(Draft_Import!$D$2:'Draft_Import'!$D182,A$1),"")</f>
        <v/>
      </c>
      <c r="C182">
        <f>IF(Draft_Import!$D182=C$1,COUNTIF(Draft_Import!$D$2:'Draft_Import'!$D182,C$1),"")</f>
        <v/>
      </c>
      <c r="E182">
        <f>IF(Draft_Import!$D182=E$1,COUNTIF(Draft_Import!$D$2:'Draft_Import'!$D182,E$1),"")</f>
        <v/>
      </c>
      <c r="G182">
        <f>IF(Draft_Import!$D182=G$1,COUNTIF(Draft_Import!$D$2:'Draft_Import'!$D182,G$1),"")</f>
        <v/>
      </c>
      <c r="I182">
        <f>IF(Draft_Import!$D182=I$1,COUNTIF(Draft_Import!$D$2:'Draft_Import'!$D182,I$1),"")</f>
        <v/>
      </c>
      <c r="K182">
        <f>IF(Draft_Import!$D182=K$1,COUNTIF(Draft_Import!$D$2:'Draft_Import'!$D182,K$1),"")</f>
        <v/>
      </c>
      <c r="M182">
        <f>IF(Draft_Import!$D182=M$1,COUNTIF(Draft_Import!$D$2:'Draft_Import'!$D182,M$1),"")</f>
        <v/>
      </c>
      <c r="O182">
        <f>IF(Draft_Import!$D182=O$1,COUNTIF(Draft_Import!$D$2:'Draft_Import'!$D182,O$1),"")</f>
        <v/>
      </c>
      <c r="Q182">
        <f>IF(Draft_Import!$D182=Q$1,COUNTIF(Draft_Import!$D$2:'Draft_Import'!$D182,Q$1),"")</f>
        <v/>
      </c>
      <c r="S182">
        <f>IF(Draft_Import!$D182=S$1,COUNTIF(Draft_Import!$D$2:'Draft_Import'!$D182,S$1),"")</f>
        <v/>
      </c>
    </row>
    <row r="183">
      <c r="A183">
        <f>IF(Draft_Import!$D183=A$1,COUNTIF(Draft_Import!$D$2:'Draft_Import'!$D183,A$1),"")</f>
        <v/>
      </c>
      <c r="C183">
        <f>IF(Draft_Import!$D183=C$1,COUNTIF(Draft_Import!$D$2:'Draft_Import'!$D183,C$1),"")</f>
        <v/>
      </c>
      <c r="E183">
        <f>IF(Draft_Import!$D183=E$1,COUNTIF(Draft_Import!$D$2:'Draft_Import'!$D183,E$1),"")</f>
        <v/>
      </c>
      <c r="G183">
        <f>IF(Draft_Import!$D183=G$1,COUNTIF(Draft_Import!$D$2:'Draft_Import'!$D183,G$1),"")</f>
        <v/>
      </c>
      <c r="I183">
        <f>IF(Draft_Import!$D183=I$1,COUNTIF(Draft_Import!$D$2:'Draft_Import'!$D183,I$1),"")</f>
        <v/>
      </c>
      <c r="K183">
        <f>IF(Draft_Import!$D183=K$1,COUNTIF(Draft_Import!$D$2:'Draft_Import'!$D183,K$1),"")</f>
        <v/>
      </c>
      <c r="M183">
        <f>IF(Draft_Import!$D183=M$1,COUNTIF(Draft_Import!$D$2:'Draft_Import'!$D183,M$1),"")</f>
        <v/>
      </c>
      <c r="O183">
        <f>IF(Draft_Import!$D183=O$1,COUNTIF(Draft_Import!$D$2:'Draft_Import'!$D183,O$1),"")</f>
        <v/>
      </c>
      <c r="Q183">
        <f>IF(Draft_Import!$D183=Q$1,COUNTIF(Draft_Import!$D$2:'Draft_Import'!$D183,Q$1),"")</f>
        <v/>
      </c>
      <c r="S183">
        <f>IF(Draft_Import!$D183=S$1,COUNTIF(Draft_Import!$D$2:'Draft_Import'!$D183,S$1),"")</f>
        <v/>
      </c>
    </row>
    <row r="184">
      <c r="A184">
        <f>IF(Draft_Import!$D184=A$1,COUNTIF(Draft_Import!$D$2:'Draft_Import'!$D184,A$1),"")</f>
        <v/>
      </c>
      <c r="C184">
        <f>IF(Draft_Import!$D184=C$1,COUNTIF(Draft_Import!$D$2:'Draft_Import'!$D184,C$1),"")</f>
        <v/>
      </c>
      <c r="E184">
        <f>IF(Draft_Import!$D184=E$1,COUNTIF(Draft_Import!$D$2:'Draft_Import'!$D184,E$1),"")</f>
        <v/>
      </c>
      <c r="G184">
        <f>IF(Draft_Import!$D184=G$1,COUNTIF(Draft_Import!$D$2:'Draft_Import'!$D184,G$1),"")</f>
        <v/>
      </c>
      <c r="I184">
        <f>IF(Draft_Import!$D184=I$1,COUNTIF(Draft_Import!$D$2:'Draft_Import'!$D184,I$1),"")</f>
        <v/>
      </c>
      <c r="K184">
        <f>IF(Draft_Import!$D184=K$1,COUNTIF(Draft_Import!$D$2:'Draft_Import'!$D184,K$1),"")</f>
        <v/>
      </c>
      <c r="M184">
        <f>IF(Draft_Import!$D184=M$1,COUNTIF(Draft_Import!$D$2:'Draft_Import'!$D184,M$1),"")</f>
        <v/>
      </c>
      <c r="O184">
        <f>IF(Draft_Import!$D184=O$1,COUNTIF(Draft_Import!$D$2:'Draft_Import'!$D184,O$1),"")</f>
        <v/>
      </c>
      <c r="Q184">
        <f>IF(Draft_Import!$D184=Q$1,COUNTIF(Draft_Import!$D$2:'Draft_Import'!$D184,Q$1),"")</f>
        <v/>
      </c>
      <c r="S184">
        <f>IF(Draft_Import!$D184=S$1,COUNTIF(Draft_Import!$D$2:'Draft_Import'!$D184,S$1),"")</f>
        <v/>
      </c>
    </row>
    <row r="185">
      <c r="A185">
        <f>IF(Draft_Import!$D185=A$1,COUNTIF(Draft_Import!$D$2:'Draft_Import'!$D185,A$1),"")</f>
        <v/>
      </c>
      <c r="C185">
        <f>IF(Draft_Import!$D185=C$1,COUNTIF(Draft_Import!$D$2:'Draft_Import'!$D185,C$1),"")</f>
        <v/>
      </c>
      <c r="E185">
        <f>IF(Draft_Import!$D185=E$1,COUNTIF(Draft_Import!$D$2:'Draft_Import'!$D185,E$1),"")</f>
        <v/>
      </c>
      <c r="G185">
        <f>IF(Draft_Import!$D185=G$1,COUNTIF(Draft_Import!$D$2:'Draft_Import'!$D185,G$1),"")</f>
        <v/>
      </c>
      <c r="I185">
        <f>IF(Draft_Import!$D185=I$1,COUNTIF(Draft_Import!$D$2:'Draft_Import'!$D185,I$1),"")</f>
        <v/>
      </c>
      <c r="K185">
        <f>IF(Draft_Import!$D185=K$1,COUNTIF(Draft_Import!$D$2:'Draft_Import'!$D185,K$1),"")</f>
        <v/>
      </c>
      <c r="M185">
        <f>IF(Draft_Import!$D185=M$1,COUNTIF(Draft_Import!$D$2:'Draft_Import'!$D185,M$1),"")</f>
        <v/>
      </c>
      <c r="O185">
        <f>IF(Draft_Import!$D185=O$1,COUNTIF(Draft_Import!$D$2:'Draft_Import'!$D185,O$1),"")</f>
        <v/>
      </c>
      <c r="Q185">
        <f>IF(Draft_Import!$D185=Q$1,COUNTIF(Draft_Import!$D$2:'Draft_Import'!$D185,Q$1),"")</f>
        <v/>
      </c>
      <c r="S185">
        <f>IF(Draft_Import!$D185=S$1,COUNTIF(Draft_Import!$D$2:'Draft_Import'!$D185,S$1),"")</f>
        <v/>
      </c>
    </row>
    <row r="186">
      <c r="A186">
        <f>IF(Draft_Import!$D186=A$1,COUNTIF(Draft_Import!$D$2:'Draft_Import'!$D186,A$1),"")</f>
        <v/>
      </c>
      <c r="C186">
        <f>IF(Draft_Import!$D186=C$1,COUNTIF(Draft_Import!$D$2:'Draft_Import'!$D186,C$1),"")</f>
        <v/>
      </c>
      <c r="E186">
        <f>IF(Draft_Import!$D186=E$1,COUNTIF(Draft_Import!$D$2:'Draft_Import'!$D186,E$1),"")</f>
        <v/>
      </c>
      <c r="G186">
        <f>IF(Draft_Import!$D186=G$1,COUNTIF(Draft_Import!$D$2:'Draft_Import'!$D186,G$1),"")</f>
        <v/>
      </c>
      <c r="I186">
        <f>IF(Draft_Import!$D186=I$1,COUNTIF(Draft_Import!$D$2:'Draft_Import'!$D186,I$1),"")</f>
        <v/>
      </c>
      <c r="K186">
        <f>IF(Draft_Import!$D186=K$1,COUNTIF(Draft_Import!$D$2:'Draft_Import'!$D186,K$1),"")</f>
        <v/>
      </c>
      <c r="M186">
        <f>IF(Draft_Import!$D186=M$1,COUNTIF(Draft_Import!$D$2:'Draft_Import'!$D186,M$1),"")</f>
        <v/>
      </c>
      <c r="O186">
        <f>IF(Draft_Import!$D186=O$1,COUNTIF(Draft_Import!$D$2:'Draft_Import'!$D186,O$1),"")</f>
        <v/>
      </c>
      <c r="Q186">
        <f>IF(Draft_Import!$D186=Q$1,COUNTIF(Draft_Import!$D$2:'Draft_Import'!$D186,Q$1),"")</f>
        <v/>
      </c>
      <c r="S186">
        <f>IF(Draft_Import!$D186=S$1,COUNTIF(Draft_Import!$D$2:'Draft_Import'!$D186,S$1),"")</f>
        <v/>
      </c>
    </row>
    <row r="187">
      <c r="A187">
        <f>IF(Draft_Import!$D187=A$1,COUNTIF(Draft_Import!$D$2:'Draft_Import'!$D187,A$1),"")</f>
        <v/>
      </c>
      <c r="C187">
        <f>IF(Draft_Import!$D187=C$1,COUNTIF(Draft_Import!$D$2:'Draft_Import'!$D187,C$1),"")</f>
        <v/>
      </c>
      <c r="E187">
        <f>IF(Draft_Import!$D187=E$1,COUNTIF(Draft_Import!$D$2:'Draft_Import'!$D187,E$1),"")</f>
        <v/>
      </c>
      <c r="G187">
        <f>IF(Draft_Import!$D187=G$1,COUNTIF(Draft_Import!$D$2:'Draft_Import'!$D187,G$1),"")</f>
        <v/>
      </c>
      <c r="I187">
        <f>IF(Draft_Import!$D187=I$1,COUNTIF(Draft_Import!$D$2:'Draft_Import'!$D187,I$1),"")</f>
        <v/>
      </c>
      <c r="K187">
        <f>IF(Draft_Import!$D187=K$1,COUNTIF(Draft_Import!$D$2:'Draft_Import'!$D187,K$1),"")</f>
        <v/>
      </c>
      <c r="M187">
        <f>IF(Draft_Import!$D187=M$1,COUNTIF(Draft_Import!$D$2:'Draft_Import'!$D187,M$1),"")</f>
        <v/>
      </c>
      <c r="O187">
        <f>IF(Draft_Import!$D187=O$1,COUNTIF(Draft_Import!$D$2:'Draft_Import'!$D187,O$1),"")</f>
        <v/>
      </c>
      <c r="Q187">
        <f>IF(Draft_Import!$D187=Q$1,COUNTIF(Draft_Import!$D$2:'Draft_Import'!$D187,Q$1),"")</f>
        <v/>
      </c>
      <c r="S187">
        <f>IF(Draft_Import!$D187=S$1,COUNTIF(Draft_Import!$D$2:'Draft_Import'!$D187,S$1),"")</f>
        <v/>
      </c>
    </row>
    <row r="188">
      <c r="A188">
        <f>IF(Draft_Import!$D188=A$1,COUNTIF(Draft_Import!$D$2:'Draft_Import'!$D188,A$1),"")</f>
        <v/>
      </c>
      <c r="C188">
        <f>IF(Draft_Import!$D188=C$1,COUNTIF(Draft_Import!$D$2:'Draft_Import'!$D188,C$1),"")</f>
        <v/>
      </c>
      <c r="E188">
        <f>IF(Draft_Import!$D188=E$1,COUNTIF(Draft_Import!$D$2:'Draft_Import'!$D188,E$1),"")</f>
        <v/>
      </c>
      <c r="G188">
        <f>IF(Draft_Import!$D188=G$1,COUNTIF(Draft_Import!$D$2:'Draft_Import'!$D188,G$1),"")</f>
        <v/>
      </c>
      <c r="I188">
        <f>IF(Draft_Import!$D188=I$1,COUNTIF(Draft_Import!$D$2:'Draft_Import'!$D188,I$1),"")</f>
        <v/>
      </c>
      <c r="K188">
        <f>IF(Draft_Import!$D188=K$1,COUNTIF(Draft_Import!$D$2:'Draft_Import'!$D188,K$1),"")</f>
        <v/>
      </c>
      <c r="M188">
        <f>IF(Draft_Import!$D188=M$1,COUNTIF(Draft_Import!$D$2:'Draft_Import'!$D188,M$1),"")</f>
        <v/>
      </c>
      <c r="O188">
        <f>IF(Draft_Import!$D188=O$1,COUNTIF(Draft_Import!$D$2:'Draft_Import'!$D188,O$1),"")</f>
        <v/>
      </c>
      <c r="Q188">
        <f>IF(Draft_Import!$D188=Q$1,COUNTIF(Draft_Import!$D$2:'Draft_Import'!$D188,Q$1),"")</f>
        <v/>
      </c>
      <c r="S188">
        <f>IF(Draft_Import!$D188=S$1,COUNTIF(Draft_Import!$D$2:'Draft_Import'!$D188,S$1),"")</f>
        <v/>
      </c>
    </row>
    <row r="189">
      <c r="A189">
        <f>IF(Draft_Import!$D189=A$1,COUNTIF(Draft_Import!$D$2:'Draft_Import'!$D189,A$1),"")</f>
        <v/>
      </c>
      <c r="C189">
        <f>IF(Draft_Import!$D189=C$1,COUNTIF(Draft_Import!$D$2:'Draft_Import'!$D189,C$1),"")</f>
        <v/>
      </c>
      <c r="E189">
        <f>IF(Draft_Import!$D189=E$1,COUNTIF(Draft_Import!$D$2:'Draft_Import'!$D189,E$1),"")</f>
        <v/>
      </c>
      <c r="G189">
        <f>IF(Draft_Import!$D189=G$1,COUNTIF(Draft_Import!$D$2:'Draft_Import'!$D189,G$1),"")</f>
        <v/>
      </c>
      <c r="I189">
        <f>IF(Draft_Import!$D189=I$1,COUNTIF(Draft_Import!$D$2:'Draft_Import'!$D189,I$1),"")</f>
        <v/>
      </c>
      <c r="K189">
        <f>IF(Draft_Import!$D189=K$1,COUNTIF(Draft_Import!$D$2:'Draft_Import'!$D189,K$1),"")</f>
        <v/>
      </c>
      <c r="M189">
        <f>IF(Draft_Import!$D189=M$1,COUNTIF(Draft_Import!$D$2:'Draft_Import'!$D189,M$1),"")</f>
        <v/>
      </c>
      <c r="O189">
        <f>IF(Draft_Import!$D189=O$1,COUNTIF(Draft_Import!$D$2:'Draft_Import'!$D189,O$1),"")</f>
        <v/>
      </c>
      <c r="Q189">
        <f>IF(Draft_Import!$D189=Q$1,COUNTIF(Draft_Import!$D$2:'Draft_Import'!$D189,Q$1),"")</f>
        <v/>
      </c>
      <c r="S189">
        <f>IF(Draft_Import!$D189=S$1,COUNTIF(Draft_Import!$D$2:'Draft_Import'!$D189,S$1),"")</f>
        <v/>
      </c>
    </row>
    <row r="190">
      <c r="A190">
        <f>IF(Draft_Import!$D190=A$1,COUNTIF(Draft_Import!$D$2:'Draft_Import'!$D190,A$1),"")</f>
        <v/>
      </c>
      <c r="C190">
        <f>IF(Draft_Import!$D190=C$1,COUNTIF(Draft_Import!$D$2:'Draft_Import'!$D190,C$1),"")</f>
        <v/>
      </c>
      <c r="E190">
        <f>IF(Draft_Import!$D190=E$1,COUNTIF(Draft_Import!$D$2:'Draft_Import'!$D190,E$1),"")</f>
        <v/>
      </c>
      <c r="G190">
        <f>IF(Draft_Import!$D190=G$1,COUNTIF(Draft_Import!$D$2:'Draft_Import'!$D190,G$1),"")</f>
        <v/>
      </c>
      <c r="I190">
        <f>IF(Draft_Import!$D190=I$1,COUNTIF(Draft_Import!$D$2:'Draft_Import'!$D190,I$1),"")</f>
        <v/>
      </c>
      <c r="K190">
        <f>IF(Draft_Import!$D190=K$1,COUNTIF(Draft_Import!$D$2:'Draft_Import'!$D190,K$1),"")</f>
        <v/>
      </c>
      <c r="M190">
        <f>IF(Draft_Import!$D190=M$1,COUNTIF(Draft_Import!$D$2:'Draft_Import'!$D190,M$1),"")</f>
        <v/>
      </c>
      <c r="O190">
        <f>IF(Draft_Import!$D190=O$1,COUNTIF(Draft_Import!$D$2:'Draft_Import'!$D190,O$1),"")</f>
        <v/>
      </c>
      <c r="Q190">
        <f>IF(Draft_Import!$D190=Q$1,COUNTIF(Draft_Import!$D$2:'Draft_Import'!$D190,Q$1),"")</f>
        <v/>
      </c>
      <c r="S190">
        <f>IF(Draft_Import!$D190=S$1,COUNTIF(Draft_Import!$D$2:'Draft_Import'!$D190,S$1),"")</f>
        <v/>
      </c>
    </row>
    <row r="191">
      <c r="A191">
        <f>IF(Draft_Import!$D191=A$1,COUNTIF(Draft_Import!$D$2:'Draft_Import'!$D191,A$1),"")</f>
        <v/>
      </c>
      <c r="C191">
        <f>IF(Draft_Import!$D191=C$1,COUNTIF(Draft_Import!$D$2:'Draft_Import'!$D191,C$1),"")</f>
        <v/>
      </c>
      <c r="E191">
        <f>IF(Draft_Import!$D191=E$1,COUNTIF(Draft_Import!$D$2:'Draft_Import'!$D191,E$1),"")</f>
        <v/>
      </c>
      <c r="G191">
        <f>IF(Draft_Import!$D191=G$1,COUNTIF(Draft_Import!$D$2:'Draft_Import'!$D191,G$1),"")</f>
        <v/>
      </c>
      <c r="I191">
        <f>IF(Draft_Import!$D191=I$1,COUNTIF(Draft_Import!$D$2:'Draft_Import'!$D191,I$1),"")</f>
        <v/>
      </c>
      <c r="K191">
        <f>IF(Draft_Import!$D191=K$1,COUNTIF(Draft_Import!$D$2:'Draft_Import'!$D191,K$1),"")</f>
        <v/>
      </c>
      <c r="M191">
        <f>IF(Draft_Import!$D191=M$1,COUNTIF(Draft_Import!$D$2:'Draft_Import'!$D191,M$1),"")</f>
        <v/>
      </c>
      <c r="O191">
        <f>IF(Draft_Import!$D191=O$1,COUNTIF(Draft_Import!$D$2:'Draft_Import'!$D191,O$1),"")</f>
        <v/>
      </c>
      <c r="Q191">
        <f>IF(Draft_Import!$D191=Q$1,COUNTIF(Draft_Import!$D$2:'Draft_Import'!$D191,Q$1),"")</f>
        <v/>
      </c>
      <c r="S191">
        <f>IF(Draft_Import!$D191=S$1,COUNTIF(Draft_Import!$D$2:'Draft_Import'!$D191,S$1),"")</f>
        <v/>
      </c>
    </row>
    <row r="192">
      <c r="A192">
        <f>IF(Draft_Import!$D192=A$1,COUNTIF(Draft_Import!$D$2:'Draft_Import'!$D192,A$1),"")</f>
        <v/>
      </c>
      <c r="C192">
        <f>IF(Draft_Import!$D192=C$1,COUNTIF(Draft_Import!$D$2:'Draft_Import'!$D192,C$1),"")</f>
        <v/>
      </c>
      <c r="E192">
        <f>IF(Draft_Import!$D192=E$1,COUNTIF(Draft_Import!$D$2:'Draft_Import'!$D192,E$1),"")</f>
        <v/>
      </c>
      <c r="G192">
        <f>IF(Draft_Import!$D192=G$1,COUNTIF(Draft_Import!$D$2:'Draft_Import'!$D192,G$1),"")</f>
        <v/>
      </c>
      <c r="I192">
        <f>IF(Draft_Import!$D192=I$1,COUNTIF(Draft_Import!$D$2:'Draft_Import'!$D192,I$1),"")</f>
        <v/>
      </c>
      <c r="K192">
        <f>IF(Draft_Import!$D192=K$1,COUNTIF(Draft_Import!$D$2:'Draft_Import'!$D192,K$1),"")</f>
        <v/>
      </c>
      <c r="M192">
        <f>IF(Draft_Import!$D192=M$1,COUNTIF(Draft_Import!$D$2:'Draft_Import'!$D192,M$1),"")</f>
        <v/>
      </c>
      <c r="O192">
        <f>IF(Draft_Import!$D192=O$1,COUNTIF(Draft_Import!$D$2:'Draft_Import'!$D192,O$1),"")</f>
        <v/>
      </c>
      <c r="Q192">
        <f>IF(Draft_Import!$D192=Q$1,COUNTIF(Draft_Import!$D$2:'Draft_Import'!$D192,Q$1),"")</f>
        <v/>
      </c>
      <c r="S192">
        <f>IF(Draft_Import!$D192=S$1,COUNTIF(Draft_Import!$D$2:'Draft_Import'!$D192,S$1),"")</f>
        <v/>
      </c>
    </row>
    <row r="193">
      <c r="A193">
        <f>IF(Draft_Import!$D193=A$1,COUNTIF(Draft_Import!$D$2:'Draft_Import'!$D193,A$1),"")</f>
        <v/>
      </c>
      <c r="C193">
        <f>IF(Draft_Import!$D193=C$1,COUNTIF(Draft_Import!$D$2:'Draft_Import'!$D193,C$1),"")</f>
        <v/>
      </c>
      <c r="E193">
        <f>IF(Draft_Import!$D193=E$1,COUNTIF(Draft_Import!$D$2:'Draft_Import'!$D193,E$1),"")</f>
        <v/>
      </c>
      <c r="G193">
        <f>IF(Draft_Import!$D193=G$1,COUNTIF(Draft_Import!$D$2:'Draft_Import'!$D193,G$1),"")</f>
        <v/>
      </c>
      <c r="I193">
        <f>IF(Draft_Import!$D193=I$1,COUNTIF(Draft_Import!$D$2:'Draft_Import'!$D193,I$1),"")</f>
        <v/>
      </c>
      <c r="K193">
        <f>IF(Draft_Import!$D193=K$1,COUNTIF(Draft_Import!$D$2:'Draft_Import'!$D193,K$1),"")</f>
        <v/>
      </c>
      <c r="M193">
        <f>IF(Draft_Import!$D193=M$1,COUNTIF(Draft_Import!$D$2:'Draft_Import'!$D193,M$1),"")</f>
        <v/>
      </c>
      <c r="O193">
        <f>IF(Draft_Import!$D193=O$1,COUNTIF(Draft_Import!$D$2:'Draft_Import'!$D193,O$1),"")</f>
        <v/>
      </c>
      <c r="Q193">
        <f>IF(Draft_Import!$D193=Q$1,COUNTIF(Draft_Import!$D$2:'Draft_Import'!$D193,Q$1),"")</f>
        <v/>
      </c>
      <c r="S193">
        <f>IF(Draft_Import!$D193=S$1,COUNTIF(Draft_Import!$D$2:'Draft_Import'!$D193,S$1),"")</f>
        <v/>
      </c>
    </row>
    <row r="194">
      <c r="A194">
        <f>IF(Draft_Import!$D194=A$1,COUNTIF(Draft_Import!$D$2:'Draft_Import'!$D194,A$1),"")</f>
        <v/>
      </c>
      <c r="C194">
        <f>IF(Draft_Import!$D194=C$1,COUNTIF(Draft_Import!$D$2:'Draft_Import'!$D194,C$1),"")</f>
        <v/>
      </c>
      <c r="E194">
        <f>IF(Draft_Import!$D194=E$1,COUNTIF(Draft_Import!$D$2:'Draft_Import'!$D194,E$1),"")</f>
        <v/>
      </c>
      <c r="G194">
        <f>IF(Draft_Import!$D194=G$1,COUNTIF(Draft_Import!$D$2:'Draft_Import'!$D194,G$1),"")</f>
        <v/>
      </c>
      <c r="I194">
        <f>IF(Draft_Import!$D194=I$1,COUNTIF(Draft_Import!$D$2:'Draft_Import'!$D194,I$1),"")</f>
        <v/>
      </c>
      <c r="K194">
        <f>IF(Draft_Import!$D194=K$1,COUNTIF(Draft_Import!$D$2:'Draft_Import'!$D194,K$1),"")</f>
        <v/>
      </c>
      <c r="M194">
        <f>IF(Draft_Import!$D194=M$1,COUNTIF(Draft_Import!$D$2:'Draft_Import'!$D194,M$1),"")</f>
        <v/>
      </c>
      <c r="O194">
        <f>IF(Draft_Import!$D194=O$1,COUNTIF(Draft_Import!$D$2:'Draft_Import'!$D194,O$1),"")</f>
        <v/>
      </c>
      <c r="Q194">
        <f>IF(Draft_Import!$D194=Q$1,COUNTIF(Draft_Import!$D$2:'Draft_Import'!$D194,Q$1),"")</f>
        <v/>
      </c>
      <c r="S194">
        <f>IF(Draft_Import!$D194=S$1,COUNTIF(Draft_Import!$D$2:'Draft_Import'!$D194,S$1),"")</f>
        <v/>
      </c>
    </row>
    <row r="195">
      <c r="A195">
        <f>IF(Draft_Import!$D195=A$1,COUNTIF(Draft_Import!$D$2:'Draft_Import'!$D195,A$1),"")</f>
        <v/>
      </c>
      <c r="C195">
        <f>IF(Draft_Import!$D195=C$1,COUNTIF(Draft_Import!$D$2:'Draft_Import'!$D195,C$1),"")</f>
        <v/>
      </c>
      <c r="E195">
        <f>IF(Draft_Import!$D195=E$1,COUNTIF(Draft_Import!$D$2:'Draft_Import'!$D195,E$1),"")</f>
        <v/>
      </c>
      <c r="G195">
        <f>IF(Draft_Import!$D195=G$1,COUNTIF(Draft_Import!$D$2:'Draft_Import'!$D195,G$1),"")</f>
        <v/>
      </c>
      <c r="I195">
        <f>IF(Draft_Import!$D195=I$1,COUNTIF(Draft_Import!$D$2:'Draft_Import'!$D195,I$1),"")</f>
        <v/>
      </c>
      <c r="K195">
        <f>IF(Draft_Import!$D195=K$1,COUNTIF(Draft_Import!$D$2:'Draft_Import'!$D195,K$1),"")</f>
        <v/>
      </c>
      <c r="M195">
        <f>IF(Draft_Import!$D195=M$1,COUNTIF(Draft_Import!$D$2:'Draft_Import'!$D195,M$1),"")</f>
        <v/>
      </c>
      <c r="O195">
        <f>IF(Draft_Import!$D195=O$1,COUNTIF(Draft_Import!$D$2:'Draft_Import'!$D195,O$1),"")</f>
        <v/>
      </c>
      <c r="Q195">
        <f>IF(Draft_Import!$D195=Q$1,COUNTIF(Draft_Import!$D$2:'Draft_Import'!$D195,Q$1),"")</f>
        <v/>
      </c>
      <c r="S195">
        <f>IF(Draft_Import!$D195=S$1,COUNTIF(Draft_Import!$D$2:'Draft_Import'!$D195,S$1),"")</f>
        <v/>
      </c>
    </row>
    <row r="196">
      <c r="A196">
        <f>IF(Draft_Import!$D196=A$1,COUNTIF(Draft_Import!$D$2:'Draft_Import'!$D196,A$1),"")</f>
        <v/>
      </c>
      <c r="C196">
        <f>IF(Draft_Import!$D196=C$1,COUNTIF(Draft_Import!$D$2:'Draft_Import'!$D196,C$1),"")</f>
        <v/>
      </c>
      <c r="E196">
        <f>IF(Draft_Import!$D196=E$1,COUNTIF(Draft_Import!$D$2:'Draft_Import'!$D196,E$1),"")</f>
        <v/>
      </c>
      <c r="G196">
        <f>IF(Draft_Import!$D196=G$1,COUNTIF(Draft_Import!$D$2:'Draft_Import'!$D196,G$1),"")</f>
        <v/>
      </c>
      <c r="I196">
        <f>IF(Draft_Import!$D196=I$1,COUNTIF(Draft_Import!$D$2:'Draft_Import'!$D196,I$1),"")</f>
        <v/>
      </c>
      <c r="K196">
        <f>IF(Draft_Import!$D196=K$1,COUNTIF(Draft_Import!$D$2:'Draft_Import'!$D196,K$1),"")</f>
        <v/>
      </c>
      <c r="M196">
        <f>IF(Draft_Import!$D196=M$1,COUNTIF(Draft_Import!$D$2:'Draft_Import'!$D196,M$1),"")</f>
        <v/>
      </c>
      <c r="O196">
        <f>IF(Draft_Import!$D196=O$1,COUNTIF(Draft_Import!$D$2:'Draft_Import'!$D196,O$1),"")</f>
        <v/>
      </c>
      <c r="Q196">
        <f>IF(Draft_Import!$D196=Q$1,COUNTIF(Draft_Import!$D$2:'Draft_Import'!$D196,Q$1),"")</f>
        <v/>
      </c>
      <c r="S196">
        <f>IF(Draft_Import!$D196=S$1,COUNTIF(Draft_Import!$D$2:'Draft_Import'!$D196,S$1),"")</f>
        <v/>
      </c>
    </row>
    <row r="197">
      <c r="A197">
        <f>IF(Draft_Import!$D197=A$1,COUNTIF(Draft_Import!$D$2:'Draft_Import'!$D197,A$1),"")</f>
        <v/>
      </c>
      <c r="C197">
        <f>IF(Draft_Import!$D197=C$1,COUNTIF(Draft_Import!$D$2:'Draft_Import'!$D197,C$1),"")</f>
        <v/>
      </c>
      <c r="E197">
        <f>IF(Draft_Import!$D197=E$1,COUNTIF(Draft_Import!$D$2:'Draft_Import'!$D197,E$1),"")</f>
        <v/>
      </c>
      <c r="G197">
        <f>IF(Draft_Import!$D197=G$1,COUNTIF(Draft_Import!$D$2:'Draft_Import'!$D197,G$1),"")</f>
        <v/>
      </c>
      <c r="I197">
        <f>IF(Draft_Import!$D197=I$1,COUNTIF(Draft_Import!$D$2:'Draft_Import'!$D197,I$1),"")</f>
        <v/>
      </c>
      <c r="K197">
        <f>IF(Draft_Import!$D197=K$1,COUNTIF(Draft_Import!$D$2:'Draft_Import'!$D197,K$1),"")</f>
        <v/>
      </c>
      <c r="M197">
        <f>IF(Draft_Import!$D197=M$1,COUNTIF(Draft_Import!$D$2:'Draft_Import'!$D197,M$1),"")</f>
        <v/>
      </c>
      <c r="O197">
        <f>IF(Draft_Import!$D197=O$1,COUNTIF(Draft_Import!$D$2:'Draft_Import'!$D197,O$1),"")</f>
        <v/>
      </c>
      <c r="Q197">
        <f>IF(Draft_Import!$D197=Q$1,COUNTIF(Draft_Import!$D$2:'Draft_Import'!$D197,Q$1),"")</f>
        <v/>
      </c>
      <c r="S197">
        <f>IF(Draft_Import!$D197=S$1,COUNTIF(Draft_Import!$D$2:'Draft_Import'!$D197,S$1),"")</f>
        <v/>
      </c>
    </row>
    <row r="198">
      <c r="A198">
        <f>IF(Draft_Import!$D198=A$1,COUNTIF(Draft_Import!$D$2:'Draft_Import'!$D198,A$1),"")</f>
        <v/>
      </c>
      <c r="C198">
        <f>IF(Draft_Import!$D198=C$1,COUNTIF(Draft_Import!$D$2:'Draft_Import'!$D198,C$1),"")</f>
        <v/>
      </c>
      <c r="E198">
        <f>IF(Draft_Import!$D198=E$1,COUNTIF(Draft_Import!$D$2:'Draft_Import'!$D198,E$1),"")</f>
        <v/>
      </c>
      <c r="G198">
        <f>IF(Draft_Import!$D198=G$1,COUNTIF(Draft_Import!$D$2:'Draft_Import'!$D198,G$1),"")</f>
        <v/>
      </c>
      <c r="I198">
        <f>IF(Draft_Import!$D198=I$1,COUNTIF(Draft_Import!$D$2:'Draft_Import'!$D198,I$1),"")</f>
        <v/>
      </c>
      <c r="K198">
        <f>IF(Draft_Import!$D198=K$1,COUNTIF(Draft_Import!$D$2:'Draft_Import'!$D198,K$1),"")</f>
        <v/>
      </c>
      <c r="M198">
        <f>IF(Draft_Import!$D198=M$1,COUNTIF(Draft_Import!$D$2:'Draft_Import'!$D198,M$1),"")</f>
        <v/>
      </c>
      <c r="O198">
        <f>IF(Draft_Import!$D198=O$1,COUNTIF(Draft_Import!$D$2:'Draft_Import'!$D198,O$1),"")</f>
        <v/>
      </c>
      <c r="Q198">
        <f>IF(Draft_Import!$D198=Q$1,COUNTIF(Draft_Import!$D$2:'Draft_Import'!$D198,Q$1),"")</f>
        <v/>
      </c>
      <c r="S198">
        <f>IF(Draft_Import!$D198=S$1,COUNTIF(Draft_Import!$D$2:'Draft_Import'!$D198,S$1),"")</f>
        <v/>
      </c>
    </row>
    <row r="199">
      <c r="A199">
        <f>IF(Draft_Import!$D199=A$1,COUNTIF(Draft_Import!$D$2:'Draft_Import'!$D199,A$1),"")</f>
        <v/>
      </c>
      <c r="C199">
        <f>IF(Draft_Import!$D199=C$1,COUNTIF(Draft_Import!$D$2:'Draft_Import'!$D199,C$1),"")</f>
        <v/>
      </c>
      <c r="E199">
        <f>IF(Draft_Import!$D199=E$1,COUNTIF(Draft_Import!$D$2:'Draft_Import'!$D199,E$1),"")</f>
        <v/>
      </c>
      <c r="G199">
        <f>IF(Draft_Import!$D199=G$1,COUNTIF(Draft_Import!$D$2:'Draft_Import'!$D199,G$1),"")</f>
        <v/>
      </c>
      <c r="I199">
        <f>IF(Draft_Import!$D199=I$1,COUNTIF(Draft_Import!$D$2:'Draft_Import'!$D199,I$1),"")</f>
        <v/>
      </c>
      <c r="K199">
        <f>IF(Draft_Import!$D199=K$1,COUNTIF(Draft_Import!$D$2:'Draft_Import'!$D199,K$1),"")</f>
        <v/>
      </c>
      <c r="M199">
        <f>IF(Draft_Import!$D199=M$1,COUNTIF(Draft_Import!$D$2:'Draft_Import'!$D199,M$1),"")</f>
        <v/>
      </c>
      <c r="O199">
        <f>IF(Draft_Import!$D199=O$1,COUNTIF(Draft_Import!$D$2:'Draft_Import'!$D199,O$1),"")</f>
        <v/>
      </c>
      <c r="Q199">
        <f>IF(Draft_Import!$D199=Q$1,COUNTIF(Draft_Import!$D$2:'Draft_Import'!$D199,Q$1),"")</f>
        <v/>
      </c>
      <c r="S199">
        <f>IF(Draft_Import!$D199=S$1,COUNTIF(Draft_Import!$D$2:'Draft_Import'!$D199,S$1),"")</f>
        <v/>
      </c>
    </row>
    <row r="200">
      <c r="A200">
        <f>IF(Draft_Import!$D200=A$1,COUNTIF(Draft_Import!$D$2:'Draft_Import'!$D200,A$1),"")</f>
        <v/>
      </c>
      <c r="C200">
        <f>IF(Draft_Import!$D200=C$1,COUNTIF(Draft_Import!$D$2:'Draft_Import'!$D200,C$1),"")</f>
        <v/>
      </c>
      <c r="E200">
        <f>IF(Draft_Import!$D200=E$1,COUNTIF(Draft_Import!$D$2:'Draft_Import'!$D200,E$1),"")</f>
        <v/>
      </c>
      <c r="G200">
        <f>IF(Draft_Import!$D200=G$1,COUNTIF(Draft_Import!$D$2:'Draft_Import'!$D200,G$1),"")</f>
        <v/>
      </c>
      <c r="I200">
        <f>IF(Draft_Import!$D200=I$1,COUNTIF(Draft_Import!$D$2:'Draft_Import'!$D200,I$1),"")</f>
        <v/>
      </c>
      <c r="K200">
        <f>IF(Draft_Import!$D200=K$1,COUNTIF(Draft_Import!$D$2:'Draft_Import'!$D200,K$1),"")</f>
        <v/>
      </c>
      <c r="M200">
        <f>IF(Draft_Import!$D200=M$1,COUNTIF(Draft_Import!$D$2:'Draft_Import'!$D200,M$1),"")</f>
        <v/>
      </c>
      <c r="O200">
        <f>IF(Draft_Import!$D200=O$1,COUNTIF(Draft_Import!$D$2:'Draft_Import'!$D200,O$1),"")</f>
        <v/>
      </c>
      <c r="Q200">
        <f>IF(Draft_Import!$D200=Q$1,COUNTIF(Draft_Import!$D$2:'Draft_Import'!$D200,Q$1),"")</f>
        <v/>
      </c>
      <c r="S200">
        <f>IF(Draft_Import!$D200=S$1,COUNTIF(Draft_Import!$D$2:'Draft_Import'!$D200,S$1),"")</f>
        <v/>
      </c>
    </row>
    <row r="201">
      <c r="A201">
        <f>IF(Draft_Import!$D201=A$1,COUNTIF(Draft_Import!$D$2:'Draft_Import'!$D201,A$1),"")</f>
        <v/>
      </c>
      <c r="C201">
        <f>IF(Draft_Import!$D201=C$1,COUNTIF(Draft_Import!$D$2:'Draft_Import'!$D201,C$1),"")</f>
        <v/>
      </c>
      <c r="E201">
        <f>IF(Draft_Import!$D201=E$1,COUNTIF(Draft_Import!$D$2:'Draft_Import'!$D201,E$1),"")</f>
        <v/>
      </c>
      <c r="G201">
        <f>IF(Draft_Import!$D201=G$1,COUNTIF(Draft_Import!$D$2:'Draft_Import'!$D201,G$1),"")</f>
        <v/>
      </c>
      <c r="I201">
        <f>IF(Draft_Import!$D201=I$1,COUNTIF(Draft_Import!$D$2:'Draft_Import'!$D201,I$1),"")</f>
        <v/>
      </c>
      <c r="K201">
        <f>IF(Draft_Import!$D201=K$1,COUNTIF(Draft_Import!$D$2:'Draft_Import'!$D201,K$1),"")</f>
        <v/>
      </c>
      <c r="M201">
        <f>IF(Draft_Import!$D201=M$1,COUNTIF(Draft_Import!$D$2:'Draft_Import'!$D201,M$1),"")</f>
        <v/>
      </c>
      <c r="O201">
        <f>IF(Draft_Import!$D201=O$1,COUNTIF(Draft_Import!$D$2:'Draft_Import'!$D201,O$1),"")</f>
        <v/>
      </c>
      <c r="Q201">
        <f>IF(Draft_Import!$D201=Q$1,COUNTIF(Draft_Import!$D$2:'Draft_Import'!$D201,Q$1),"")</f>
        <v/>
      </c>
      <c r="S201">
        <f>IF(Draft_Import!$D201=S$1,COUNTIF(Draft_Import!$D$2:'Draft_Import'!$D201,S$1),"")</f>
        <v/>
      </c>
    </row>
    <row r="202">
      <c r="A202">
        <f>IF(Draft_Import!$D202=A$1,COUNTIF(Draft_Import!$D$2:'Draft_Import'!$D202,A$1),"")</f>
        <v/>
      </c>
      <c r="C202">
        <f>IF(Draft_Import!$D202=C$1,COUNTIF(Draft_Import!$D$2:'Draft_Import'!$D202,C$1),"")</f>
        <v/>
      </c>
      <c r="E202">
        <f>IF(Draft_Import!$D202=E$1,COUNTIF(Draft_Import!$D$2:'Draft_Import'!$D202,E$1),"")</f>
        <v/>
      </c>
      <c r="G202">
        <f>IF(Draft_Import!$D202=G$1,COUNTIF(Draft_Import!$D$2:'Draft_Import'!$D202,G$1),"")</f>
        <v/>
      </c>
      <c r="I202">
        <f>IF(Draft_Import!$D202=I$1,COUNTIF(Draft_Import!$D$2:'Draft_Import'!$D202,I$1),"")</f>
        <v/>
      </c>
      <c r="K202">
        <f>IF(Draft_Import!$D202=K$1,COUNTIF(Draft_Import!$D$2:'Draft_Import'!$D202,K$1),"")</f>
        <v/>
      </c>
      <c r="M202">
        <f>IF(Draft_Import!$D202=M$1,COUNTIF(Draft_Import!$D$2:'Draft_Import'!$D202,M$1),"")</f>
        <v/>
      </c>
      <c r="O202">
        <f>IF(Draft_Import!$D202=O$1,COUNTIF(Draft_Import!$D$2:'Draft_Import'!$D202,O$1),"")</f>
        <v/>
      </c>
      <c r="Q202">
        <f>IF(Draft_Import!$D202=Q$1,COUNTIF(Draft_Import!$D$2:'Draft_Import'!$D202,Q$1),"")</f>
        <v/>
      </c>
      <c r="S202">
        <f>IF(Draft_Import!$D202=S$1,COUNTIF(Draft_Import!$D$2:'Draft_Import'!$D202,S$1),"")</f>
        <v/>
      </c>
    </row>
    <row r="203">
      <c r="A203">
        <f>IF(Draft_Import!$D203=A$1,COUNTIF(Draft_Import!$D$2:'Draft_Import'!$D203,A$1),"")</f>
        <v/>
      </c>
      <c r="C203">
        <f>IF(Draft_Import!$D203=C$1,COUNTIF(Draft_Import!$D$2:'Draft_Import'!$D203,C$1),"")</f>
        <v/>
      </c>
      <c r="E203">
        <f>IF(Draft_Import!$D203=E$1,COUNTIF(Draft_Import!$D$2:'Draft_Import'!$D203,E$1),"")</f>
        <v/>
      </c>
      <c r="G203">
        <f>IF(Draft_Import!$D203=G$1,COUNTIF(Draft_Import!$D$2:'Draft_Import'!$D203,G$1),"")</f>
        <v/>
      </c>
      <c r="I203">
        <f>IF(Draft_Import!$D203=I$1,COUNTIF(Draft_Import!$D$2:'Draft_Import'!$D203,I$1),"")</f>
        <v/>
      </c>
      <c r="K203">
        <f>IF(Draft_Import!$D203=K$1,COUNTIF(Draft_Import!$D$2:'Draft_Import'!$D203,K$1),"")</f>
        <v/>
      </c>
      <c r="M203">
        <f>IF(Draft_Import!$D203=M$1,COUNTIF(Draft_Import!$D$2:'Draft_Import'!$D203,M$1),"")</f>
        <v/>
      </c>
      <c r="O203">
        <f>IF(Draft_Import!$D203=O$1,COUNTIF(Draft_Import!$D$2:'Draft_Import'!$D203,O$1),"")</f>
        <v/>
      </c>
      <c r="Q203">
        <f>IF(Draft_Import!$D203=Q$1,COUNTIF(Draft_Import!$D$2:'Draft_Import'!$D203,Q$1),"")</f>
        <v/>
      </c>
      <c r="S203">
        <f>IF(Draft_Import!$D203=S$1,COUNTIF(Draft_Import!$D$2:'Draft_Import'!$D203,S$1),"")</f>
        <v/>
      </c>
    </row>
    <row r="204">
      <c r="A204">
        <f>IF(Draft_Import!$D204=A$1,COUNTIF(Draft_Import!$D$2:'Draft_Import'!$D204,A$1),"")</f>
        <v/>
      </c>
      <c r="C204">
        <f>IF(Draft_Import!$D204=C$1,COUNTIF(Draft_Import!$D$2:'Draft_Import'!$D204,C$1),"")</f>
        <v/>
      </c>
      <c r="E204">
        <f>IF(Draft_Import!$D204=E$1,COUNTIF(Draft_Import!$D$2:'Draft_Import'!$D204,E$1),"")</f>
        <v/>
      </c>
      <c r="G204">
        <f>IF(Draft_Import!$D204=G$1,COUNTIF(Draft_Import!$D$2:'Draft_Import'!$D204,G$1),"")</f>
        <v/>
      </c>
      <c r="I204">
        <f>IF(Draft_Import!$D204=I$1,COUNTIF(Draft_Import!$D$2:'Draft_Import'!$D204,I$1),"")</f>
        <v/>
      </c>
      <c r="K204">
        <f>IF(Draft_Import!$D204=K$1,COUNTIF(Draft_Import!$D$2:'Draft_Import'!$D204,K$1),"")</f>
        <v/>
      </c>
      <c r="M204">
        <f>IF(Draft_Import!$D204=M$1,COUNTIF(Draft_Import!$D$2:'Draft_Import'!$D204,M$1),"")</f>
        <v/>
      </c>
      <c r="O204">
        <f>IF(Draft_Import!$D204=O$1,COUNTIF(Draft_Import!$D$2:'Draft_Import'!$D204,O$1),"")</f>
        <v/>
      </c>
      <c r="Q204">
        <f>IF(Draft_Import!$D204=Q$1,COUNTIF(Draft_Import!$D$2:'Draft_Import'!$D204,Q$1),"")</f>
        <v/>
      </c>
      <c r="S204">
        <f>IF(Draft_Import!$D204=S$1,COUNTIF(Draft_Import!$D$2:'Draft_Import'!$D204,S$1),"")</f>
        <v/>
      </c>
    </row>
    <row r="205">
      <c r="A205">
        <f>IF(Draft_Import!$D205=A$1,COUNTIF(Draft_Import!$D$2:'Draft_Import'!$D205,A$1),"")</f>
        <v/>
      </c>
      <c r="C205">
        <f>IF(Draft_Import!$D205=C$1,COUNTIF(Draft_Import!$D$2:'Draft_Import'!$D205,C$1),"")</f>
        <v/>
      </c>
      <c r="E205">
        <f>IF(Draft_Import!$D205=E$1,COUNTIF(Draft_Import!$D$2:'Draft_Import'!$D205,E$1),"")</f>
        <v/>
      </c>
      <c r="G205">
        <f>IF(Draft_Import!$D205=G$1,COUNTIF(Draft_Import!$D$2:'Draft_Import'!$D205,G$1),"")</f>
        <v/>
      </c>
      <c r="I205">
        <f>IF(Draft_Import!$D205=I$1,COUNTIF(Draft_Import!$D$2:'Draft_Import'!$D205,I$1),"")</f>
        <v/>
      </c>
      <c r="K205">
        <f>IF(Draft_Import!$D205=K$1,COUNTIF(Draft_Import!$D$2:'Draft_Import'!$D205,K$1),"")</f>
        <v/>
      </c>
      <c r="M205">
        <f>IF(Draft_Import!$D205=M$1,COUNTIF(Draft_Import!$D$2:'Draft_Import'!$D205,M$1),"")</f>
        <v/>
      </c>
      <c r="O205">
        <f>IF(Draft_Import!$D205=O$1,COUNTIF(Draft_Import!$D$2:'Draft_Import'!$D205,O$1),"")</f>
        <v/>
      </c>
      <c r="Q205">
        <f>IF(Draft_Import!$D205=Q$1,COUNTIF(Draft_Import!$D$2:'Draft_Import'!$D205,Q$1),"")</f>
        <v/>
      </c>
      <c r="S205">
        <f>IF(Draft_Import!$D205=S$1,COUNTIF(Draft_Import!$D$2:'Draft_Import'!$D205,S$1),"")</f>
        <v/>
      </c>
    </row>
    <row r="206">
      <c r="A206">
        <f>IF(Draft_Import!$D206=A$1,COUNTIF(Draft_Import!$D$2:'Draft_Import'!$D206,A$1),"")</f>
        <v/>
      </c>
      <c r="C206">
        <f>IF(Draft_Import!$D206=C$1,COUNTIF(Draft_Import!$D$2:'Draft_Import'!$D206,C$1),"")</f>
        <v/>
      </c>
      <c r="E206">
        <f>IF(Draft_Import!$D206=E$1,COUNTIF(Draft_Import!$D$2:'Draft_Import'!$D206,E$1),"")</f>
        <v/>
      </c>
      <c r="G206">
        <f>IF(Draft_Import!$D206=G$1,COUNTIF(Draft_Import!$D$2:'Draft_Import'!$D206,G$1),"")</f>
        <v/>
      </c>
      <c r="I206">
        <f>IF(Draft_Import!$D206=I$1,COUNTIF(Draft_Import!$D$2:'Draft_Import'!$D206,I$1),"")</f>
        <v/>
      </c>
      <c r="K206">
        <f>IF(Draft_Import!$D206=K$1,COUNTIF(Draft_Import!$D$2:'Draft_Import'!$D206,K$1),"")</f>
        <v/>
      </c>
      <c r="M206">
        <f>IF(Draft_Import!$D206=M$1,COUNTIF(Draft_Import!$D$2:'Draft_Import'!$D206,M$1),"")</f>
        <v/>
      </c>
      <c r="O206">
        <f>IF(Draft_Import!$D206=O$1,COUNTIF(Draft_Import!$D$2:'Draft_Import'!$D206,O$1),"")</f>
        <v/>
      </c>
      <c r="Q206">
        <f>IF(Draft_Import!$D206=Q$1,COUNTIF(Draft_Import!$D$2:'Draft_Import'!$D206,Q$1),"")</f>
        <v/>
      </c>
      <c r="S206">
        <f>IF(Draft_Import!$D206=S$1,COUNTIF(Draft_Import!$D$2:'Draft_Import'!$D206,S$1),"")</f>
        <v/>
      </c>
    </row>
    <row r="207">
      <c r="A207">
        <f>IF(Draft_Import!$D207=A$1,COUNTIF(Draft_Import!$D$2:'Draft_Import'!$D207,A$1),"")</f>
        <v/>
      </c>
      <c r="C207">
        <f>IF(Draft_Import!$D207=C$1,COUNTIF(Draft_Import!$D$2:'Draft_Import'!$D207,C$1),"")</f>
        <v/>
      </c>
      <c r="E207">
        <f>IF(Draft_Import!$D207=E$1,COUNTIF(Draft_Import!$D$2:'Draft_Import'!$D207,E$1),"")</f>
        <v/>
      </c>
      <c r="G207">
        <f>IF(Draft_Import!$D207=G$1,COUNTIF(Draft_Import!$D$2:'Draft_Import'!$D207,G$1),"")</f>
        <v/>
      </c>
      <c r="I207">
        <f>IF(Draft_Import!$D207=I$1,COUNTIF(Draft_Import!$D$2:'Draft_Import'!$D207,I$1),"")</f>
        <v/>
      </c>
      <c r="K207">
        <f>IF(Draft_Import!$D207=K$1,COUNTIF(Draft_Import!$D$2:'Draft_Import'!$D207,K$1),"")</f>
        <v/>
      </c>
      <c r="M207">
        <f>IF(Draft_Import!$D207=M$1,COUNTIF(Draft_Import!$D$2:'Draft_Import'!$D207,M$1),"")</f>
        <v/>
      </c>
      <c r="O207">
        <f>IF(Draft_Import!$D207=O$1,COUNTIF(Draft_Import!$D$2:'Draft_Import'!$D207,O$1),"")</f>
        <v/>
      </c>
      <c r="Q207">
        <f>IF(Draft_Import!$D207=Q$1,COUNTIF(Draft_Import!$D$2:'Draft_Import'!$D207,Q$1),"")</f>
        <v/>
      </c>
      <c r="S207">
        <f>IF(Draft_Import!$D207=S$1,COUNTIF(Draft_Import!$D$2:'Draft_Import'!$D207,S$1),"")</f>
        <v/>
      </c>
    </row>
    <row r="208">
      <c r="A208">
        <f>IF(Draft_Import!$D208=A$1,COUNTIF(Draft_Import!$D$2:'Draft_Import'!$D208,A$1),"")</f>
        <v/>
      </c>
      <c r="C208">
        <f>IF(Draft_Import!$D208=C$1,COUNTIF(Draft_Import!$D$2:'Draft_Import'!$D208,C$1),"")</f>
        <v/>
      </c>
      <c r="E208">
        <f>IF(Draft_Import!$D208=E$1,COUNTIF(Draft_Import!$D$2:'Draft_Import'!$D208,E$1),"")</f>
        <v/>
      </c>
      <c r="G208">
        <f>IF(Draft_Import!$D208=G$1,COUNTIF(Draft_Import!$D$2:'Draft_Import'!$D208,G$1),"")</f>
        <v/>
      </c>
      <c r="I208">
        <f>IF(Draft_Import!$D208=I$1,COUNTIF(Draft_Import!$D$2:'Draft_Import'!$D208,I$1),"")</f>
        <v/>
      </c>
      <c r="K208">
        <f>IF(Draft_Import!$D208=K$1,COUNTIF(Draft_Import!$D$2:'Draft_Import'!$D208,K$1),"")</f>
        <v/>
      </c>
      <c r="M208">
        <f>IF(Draft_Import!$D208=M$1,COUNTIF(Draft_Import!$D$2:'Draft_Import'!$D208,M$1),"")</f>
        <v/>
      </c>
      <c r="O208">
        <f>IF(Draft_Import!$D208=O$1,COUNTIF(Draft_Import!$D$2:'Draft_Import'!$D208,O$1),"")</f>
        <v/>
      </c>
      <c r="Q208">
        <f>IF(Draft_Import!$D208=Q$1,COUNTIF(Draft_Import!$D$2:'Draft_Import'!$D208,Q$1),"")</f>
        <v/>
      </c>
      <c r="S208">
        <f>IF(Draft_Import!$D208=S$1,COUNTIF(Draft_Import!$D$2:'Draft_Import'!$D208,S$1),"")</f>
        <v/>
      </c>
    </row>
    <row r="209">
      <c r="A209">
        <f>IF(Draft_Import!$D209=A$1,COUNTIF(Draft_Import!$D$2:'Draft_Import'!$D209,A$1),"")</f>
        <v/>
      </c>
      <c r="C209">
        <f>IF(Draft_Import!$D209=C$1,COUNTIF(Draft_Import!$D$2:'Draft_Import'!$D209,C$1),"")</f>
        <v/>
      </c>
      <c r="E209">
        <f>IF(Draft_Import!$D209=E$1,COUNTIF(Draft_Import!$D$2:'Draft_Import'!$D209,E$1),"")</f>
        <v/>
      </c>
      <c r="G209">
        <f>IF(Draft_Import!$D209=G$1,COUNTIF(Draft_Import!$D$2:'Draft_Import'!$D209,G$1),"")</f>
        <v/>
      </c>
      <c r="I209">
        <f>IF(Draft_Import!$D209=I$1,COUNTIF(Draft_Import!$D$2:'Draft_Import'!$D209,I$1),"")</f>
        <v/>
      </c>
      <c r="K209">
        <f>IF(Draft_Import!$D209=K$1,COUNTIF(Draft_Import!$D$2:'Draft_Import'!$D209,K$1),"")</f>
        <v/>
      </c>
      <c r="M209">
        <f>IF(Draft_Import!$D209=M$1,COUNTIF(Draft_Import!$D$2:'Draft_Import'!$D209,M$1),"")</f>
        <v/>
      </c>
      <c r="O209">
        <f>IF(Draft_Import!$D209=O$1,COUNTIF(Draft_Import!$D$2:'Draft_Import'!$D209,O$1),"")</f>
        <v/>
      </c>
      <c r="Q209">
        <f>IF(Draft_Import!$D209=Q$1,COUNTIF(Draft_Import!$D$2:'Draft_Import'!$D209,Q$1),"")</f>
        <v/>
      </c>
      <c r="S209">
        <f>IF(Draft_Import!$D209=S$1,COUNTIF(Draft_Import!$D$2:'Draft_Import'!$D209,S$1),"")</f>
        <v/>
      </c>
    </row>
    <row r="210">
      <c r="A210">
        <f>IF(Draft_Import!$D210=A$1,COUNTIF(Draft_Import!$D$2:'Draft_Import'!$D210,A$1),"")</f>
        <v/>
      </c>
      <c r="C210">
        <f>IF(Draft_Import!$D210=C$1,COUNTIF(Draft_Import!$D$2:'Draft_Import'!$D210,C$1),"")</f>
        <v/>
      </c>
      <c r="E210">
        <f>IF(Draft_Import!$D210=E$1,COUNTIF(Draft_Import!$D$2:'Draft_Import'!$D210,E$1),"")</f>
        <v/>
      </c>
      <c r="G210">
        <f>IF(Draft_Import!$D210=G$1,COUNTIF(Draft_Import!$D$2:'Draft_Import'!$D210,G$1),"")</f>
        <v/>
      </c>
      <c r="I210">
        <f>IF(Draft_Import!$D210=I$1,COUNTIF(Draft_Import!$D$2:'Draft_Import'!$D210,I$1),"")</f>
        <v/>
      </c>
      <c r="K210">
        <f>IF(Draft_Import!$D210=K$1,COUNTIF(Draft_Import!$D$2:'Draft_Import'!$D210,K$1),"")</f>
        <v/>
      </c>
      <c r="M210">
        <f>IF(Draft_Import!$D210=M$1,COUNTIF(Draft_Import!$D$2:'Draft_Import'!$D210,M$1),"")</f>
        <v/>
      </c>
      <c r="O210">
        <f>IF(Draft_Import!$D210=O$1,COUNTIF(Draft_Import!$D$2:'Draft_Import'!$D210,O$1),"")</f>
        <v/>
      </c>
      <c r="Q210">
        <f>IF(Draft_Import!$D210=Q$1,COUNTIF(Draft_Import!$D$2:'Draft_Import'!$D210,Q$1),"")</f>
        <v/>
      </c>
      <c r="S210">
        <f>IF(Draft_Import!$D210=S$1,COUNTIF(Draft_Import!$D$2:'Draft_Import'!$D210,S$1),"")</f>
        <v/>
      </c>
    </row>
    <row r="211">
      <c r="A211">
        <f>IF(Draft_Import!$D211=A$1,COUNTIF(Draft_Import!$D$2:'Draft_Import'!$D211,A$1),"")</f>
        <v/>
      </c>
      <c r="C211">
        <f>IF(Draft_Import!$D211=C$1,COUNTIF(Draft_Import!$D$2:'Draft_Import'!$D211,C$1),"")</f>
        <v/>
      </c>
      <c r="E211">
        <f>IF(Draft_Import!$D211=E$1,COUNTIF(Draft_Import!$D$2:'Draft_Import'!$D211,E$1),"")</f>
        <v/>
      </c>
      <c r="G211">
        <f>IF(Draft_Import!$D211=G$1,COUNTIF(Draft_Import!$D$2:'Draft_Import'!$D211,G$1),"")</f>
        <v/>
      </c>
      <c r="I211">
        <f>IF(Draft_Import!$D211=I$1,COUNTIF(Draft_Import!$D$2:'Draft_Import'!$D211,I$1),"")</f>
        <v/>
      </c>
      <c r="K211">
        <f>IF(Draft_Import!$D211=K$1,COUNTIF(Draft_Import!$D$2:'Draft_Import'!$D211,K$1),"")</f>
        <v/>
      </c>
      <c r="M211">
        <f>IF(Draft_Import!$D211=M$1,COUNTIF(Draft_Import!$D$2:'Draft_Import'!$D211,M$1),"")</f>
        <v/>
      </c>
      <c r="O211">
        <f>IF(Draft_Import!$D211=O$1,COUNTIF(Draft_Import!$D$2:'Draft_Import'!$D211,O$1),"")</f>
        <v/>
      </c>
      <c r="Q211">
        <f>IF(Draft_Import!$D211=Q$1,COUNTIF(Draft_Import!$D$2:'Draft_Import'!$D211,Q$1),"")</f>
        <v/>
      </c>
      <c r="S211">
        <f>IF(Draft_Import!$D211=S$1,COUNTIF(Draft_Import!$D$2:'Draft_Import'!$D211,S$1),"")</f>
        <v/>
      </c>
    </row>
    <row r="212">
      <c r="A212">
        <f>IF(Draft_Import!$D212=A$1,COUNTIF(Draft_Import!$D$2:'Draft_Import'!$D212,A$1),"")</f>
        <v/>
      </c>
      <c r="C212">
        <f>IF(Draft_Import!$D212=C$1,COUNTIF(Draft_Import!$D$2:'Draft_Import'!$D212,C$1),"")</f>
        <v/>
      </c>
      <c r="E212">
        <f>IF(Draft_Import!$D212=E$1,COUNTIF(Draft_Import!$D$2:'Draft_Import'!$D212,E$1),"")</f>
        <v/>
      </c>
      <c r="G212">
        <f>IF(Draft_Import!$D212=G$1,COUNTIF(Draft_Import!$D$2:'Draft_Import'!$D212,G$1),"")</f>
        <v/>
      </c>
      <c r="I212">
        <f>IF(Draft_Import!$D212=I$1,COUNTIF(Draft_Import!$D$2:'Draft_Import'!$D212,I$1),"")</f>
        <v/>
      </c>
      <c r="K212">
        <f>IF(Draft_Import!$D212=K$1,COUNTIF(Draft_Import!$D$2:'Draft_Import'!$D212,K$1),"")</f>
        <v/>
      </c>
      <c r="M212">
        <f>IF(Draft_Import!$D212=M$1,COUNTIF(Draft_Import!$D$2:'Draft_Import'!$D212,M$1),"")</f>
        <v/>
      </c>
      <c r="O212">
        <f>IF(Draft_Import!$D212=O$1,COUNTIF(Draft_Import!$D$2:'Draft_Import'!$D212,O$1),"")</f>
        <v/>
      </c>
      <c r="Q212">
        <f>IF(Draft_Import!$D212=Q$1,COUNTIF(Draft_Import!$D$2:'Draft_Import'!$D212,Q$1),"")</f>
        <v/>
      </c>
      <c r="S212">
        <f>IF(Draft_Import!$D212=S$1,COUNTIF(Draft_Import!$D$2:'Draft_Import'!$D212,S$1),"")</f>
        <v/>
      </c>
    </row>
    <row r="213">
      <c r="A213">
        <f>IF(Draft_Import!$D213=A$1,COUNTIF(Draft_Import!$D$2:'Draft_Import'!$D213,A$1),"")</f>
        <v/>
      </c>
      <c r="C213">
        <f>IF(Draft_Import!$D213=C$1,COUNTIF(Draft_Import!$D$2:'Draft_Import'!$D213,C$1),"")</f>
        <v/>
      </c>
      <c r="E213">
        <f>IF(Draft_Import!$D213=E$1,COUNTIF(Draft_Import!$D$2:'Draft_Import'!$D213,E$1),"")</f>
        <v/>
      </c>
      <c r="G213">
        <f>IF(Draft_Import!$D213=G$1,COUNTIF(Draft_Import!$D$2:'Draft_Import'!$D213,G$1),"")</f>
        <v/>
      </c>
      <c r="I213">
        <f>IF(Draft_Import!$D213=I$1,COUNTIF(Draft_Import!$D$2:'Draft_Import'!$D213,I$1),"")</f>
        <v/>
      </c>
      <c r="K213">
        <f>IF(Draft_Import!$D213=K$1,COUNTIF(Draft_Import!$D$2:'Draft_Import'!$D213,K$1),"")</f>
        <v/>
      </c>
      <c r="M213">
        <f>IF(Draft_Import!$D213=M$1,COUNTIF(Draft_Import!$D$2:'Draft_Import'!$D213,M$1),"")</f>
        <v/>
      </c>
      <c r="O213">
        <f>IF(Draft_Import!$D213=O$1,COUNTIF(Draft_Import!$D$2:'Draft_Import'!$D213,O$1),"")</f>
        <v/>
      </c>
      <c r="Q213">
        <f>IF(Draft_Import!$D213=Q$1,COUNTIF(Draft_Import!$D$2:'Draft_Import'!$D213,Q$1),"")</f>
        <v/>
      </c>
      <c r="S213">
        <f>IF(Draft_Import!$D213=S$1,COUNTIF(Draft_Import!$D$2:'Draft_Import'!$D213,S$1),"")</f>
        <v/>
      </c>
    </row>
    <row r="214">
      <c r="A214">
        <f>IF(Draft_Import!$D214=A$1,COUNTIF(Draft_Import!$D$2:'Draft_Import'!$D214,A$1),"")</f>
        <v/>
      </c>
      <c r="C214">
        <f>IF(Draft_Import!$D214=C$1,COUNTIF(Draft_Import!$D$2:'Draft_Import'!$D214,C$1),"")</f>
        <v/>
      </c>
      <c r="E214">
        <f>IF(Draft_Import!$D214=E$1,COUNTIF(Draft_Import!$D$2:'Draft_Import'!$D214,E$1),"")</f>
        <v/>
      </c>
      <c r="G214">
        <f>IF(Draft_Import!$D214=G$1,COUNTIF(Draft_Import!$D$2:'Draft_Import'!$D214,G$1),"")</f>
        <v/>
      </c>
      <c r="I214">
        <f>IF(Draft_Import!$D214=I$1,COUNTIF(Draft_Import!$D$2:'Draft_Import'!$D214,I$1),"")</f>
        <v/>
      </c>
      <c r="K214">
        <f>IF(Draft_Import!$D214=K$1,COUNTIF(Draft_Import!$D$2:'Draft_Import'!$D214,K$1),"")</f>
        <v/>
      </c>
      <c r="M214">
        <f>IF(Draft_Import!$D214=M$1,COUNTIF(Draft_Import!$D$2:'Draft_Import'!$D214,M$1),"")</f>
        <v/>
      </c>
      <c r="O214">
        <f>IF(Draft_Import!$D214=O$1,COUNTIF(Draft_Import!$D$2:'Draft_Import'!$D214,O$1),"")</f>
        <v/>
      </c>
      <c r="Q214">
        <f>IF(Draft_Import!$D214=Q$1,COUNTIF(Draft_Import!$D$2:'Draft_Import'!$D214,Q$1),"")</f>
        <v/>
      </c>
      <c r="S214">
        <f>IF(Draft_Import!$D214=S$1,COUNTIF(Draft_Import!$D$2:'Draft_Import'!$D214,S$1),"")</f>
        <v/>
      </c>
    </row>
    <row r="215">
      <c r="A215">
        <f>IF(Draft_Import!$D215=A$1,COUNTIF(Draft_Import!$D$2:'Draft_Import'!$D215,A$1),"")</f>
        <v/>
      </c>
      <c r="C215">
        <f>IF(Draft_Import!$D215=C$1,COUNTIF(Draft_Import!$D$2:'Draft_Import'!$D215,C$1),"")</f>
        <v/>
      </c>
      <c r="E215">
        <f>IF(Draft_Import!$D215=E$1,COUNTIF(Draft_Import!$D$2:'Draft_Import'!$D215,E$1),"")</f>
        <v/>
      </c>
      <c r="G215">
        <f>IF(Draft_Import!$D215=G$1,COUNTIF(Draft_Import!$D$2:'Draft_Import'!$D215,G$1),"")</f>
        <v/>
      </c>
      <c r="I215">
        <f>IF(Draft_Import!$D215=I$1,COUNTIF(Draft_Import!$D$2:'Draft_Import'!$D215,I$1),"")</f>
        <v/>
      </c>
      <c r="K215">
        <f>IF(Draft_Import!$D215=K$1,COUNTIF(Draft_Import!$D$2:'Draft_Import'!$D215,K$1),"")</f>
        <v/>
      </c>
      <c r="M215">
        <f>IF(Draft_Import!$D215=M$1,COUNTIF(Draft_Import!$D$2:'Draft_Import'!$D215,M$1),"")</f>
        <v/>
      </c>
      <c r="O215">
        <f>IF(Draft_Import!$D215=O$1,COUNTIF(Draft_Import!$D$2:'Draft_Import'!$D215,O$1),"")</f>
        <v/>
      </c>
      <c r="Q215">
        <f>IF(Draft_Import!$D215=Q$1,COUNTIF(Draft_Import!$D$2:'Draft_Import'!$D215,Q$1),"")</f>
        <v/>
      </c>
      <c r="S215">
        <f>IF(Draft_Import!$D215=S$1,COUNTIF(Draft_Import!$D$2:'Draft_Import'!$D215,S$1),"")</f>
        <v/>
      </c>
    </row>
    <row r="216">
      <c r="A216">
        <f>IF(Draft_Import!$D216=A$1,COUNTIF(Draft_Import!$D$2:'Draft_Import'!$D216,A$1),"")</f>
        <v/>
      </c>
      <c r="C216">
        <f>IF(Draft_Import!$D216=C$1,COUNTIF(Draft_Import!$D$2:'Draft_Import'!$D216,C$1),"")</f>
        <v/>
      </c>
      <c r="E216">
        <f>IF(Draft_Import!$D216=E$1,COUNTIF(Draft_Import!$D$2:'Draft_Import'!$D216,E$1),"")</f>
        <v/>
      </c>
      <c r="G216">
        <f>IF(Draft_Import!$D216=G$1,COUNTIF(Draft_Import!$D$2:'Draft_Import'!$D216,G$1),"")</f>
        <v/>
      </c>
      <c r="I216">
        <f>IF(Draft_Import!$D216=I$1,COUNTIF(Draft_Import!$D$2:'Draft_Import'!$D216,I$1),"")</f>
        <v/>
      </c>
      <c r="K216">
        <f>IF(Draft_Import!$D216=K$1,COUNTIF(Draft_Import!$D$2:'Draft_Import'!$D216,K$1),"")</f>
        <v/>
      </c>
      <c r="M216">
        <f>IF(Draft_Import!$D216=M$1,COUNTIF(Draft_Import!$D$2:'Draft_Import'!$D216,M$1),"")</f>
        <v/>
      </c>
      <c r="O216">
        <f>IF(Draft_Import!$D216=O$1,COUNTIF(Draft_Import!$D$2:'Draft_Import'!$D216,O$1),"")</f>
        <v/>
      </c>
      <c r="Q216">
        <f>IF(Draft_Import!$D216=Q$1,COUNTIF(Draft_Import!$D$2:'Draft_Import'!$D216,Q$1),"")</f>
        <v/>
      </c>
      <c r="S216">
        <f>IF(Draft_Import!$D216=S$1,COUNTIF(Draft_Import!$D$2:'Draft_Import'!$D216,S$1),"")</f>
        <v/>
      </c>
    </row>
    <row r="217">
      <c r="A217">
        <f>IF(Draft_Import!$D217=A$1,COUNTIF(Draft_Import!$D$2:'Draft_Import'!$D217,A$1),"")</f>
        <v/>
      </c>
      <c r="C217">
        <f>IF(Draft_Import!$D217=C$1,COUNTIF(Draft_Import!$D$2:'Draft_Import'!$D217,C$1),"")</f>
        <v/>
      </c>
      <c r="E217">
        <f>IF(Draft_Import!$D217=E$1,COUNTIF(Draft_Import!$D$2:'Draft_Import'!$D217,E$1),"")</f>
        <v/>
      </c>
      <c r="G217">
        <f>IF(Draft_Import!$D217=G$1,COUNTIF(Draft_Import!$D$2:'Draft_Import'!$D217,G$1),"")</f>
        <v/>
      </c>
      <c r="I217">
        <f>IF(Draft_Import!$D217=I$1,COUNTIF(Draft_Import!$D$2:'Draft_Import'!$D217,I$1),"")</f>
        <v/>
      </c>
      <c r="K217">
        <f>IF(Draft_Import!$D217=K$1,COUNTIF(Draft_Import!$D$2:'Draft_Import'!$D217,K$1),"")</f>
        <v/>
      </c>
      <c r="M217">
        <f>IF(Draft_Import!$D217=M$1,COUNTIF(Draft_Import!$D$2:'Draft_Import'!$D217,M$1),"")</f>
        <v/>
      </c>
      <c r="O217">
        <f>IF(Draft_Import!$D217=O$1,COUNTIF(Draft_Import!$D$2:'Draft_Import'!$D217,O$1),"")</f>
        <v/>
      </c>
      <c r="Q217">
        <f>IF(Draft_Import!$D217=Q$1,COUNTIF(Draft_Import!$D$2:'Draft_Import'!$D217,Q$1),"")</f>
        <v/>
      </c>
      <c r="S217">
        <f>IF(Draft_Import!$D217=S$1,COUNTIF(Draft_Import!$D$2:'Draft_Import'!$D217,S$1),"")</f>
        <v/>
      </c>
    </row>
    <row r="218">
      <c r="A218">
        <f>IF(Draft_Import!$D218=A$1,COUNTIF(Draft_Import!$D$2:'Draft_Import'!$D218,A$1),"")</f>
        <v/>
      </c>
      <c r="C218">
        <f>IF(Draft_Import!$D218=C$1,COUNTIF(Draft_Import!$D$2:'Draft_Import'!$D218,C$1),"")</f>
        <v/>
      </c>
      <c r="E218">
        <f>IF(Draft_Import!$D218=E$1,COUNTIF(Draft_Import!$D$2:'Draft_Import'!$D218,E$1),"")</f>
        <v/>
      </c>
      <c r="G218">
        <f>IF(Draft_Import!$D218=G$1,COUNTIF(Draft_Import!$D$2:'Draft_Import'!$D218,G$1),"")</f>
        <v/>
      </c>
      <c r="I218">
        <f>IF(Draft_Import!$D218=I$1,COUNTIF(Draft_Import!$D$2:'Draft_Import'!$D218,I$1),"")</f>
        <v/>
      </c>
      <c r="K218">
        <f>IF(Draft_Import!$D218=K$1,COUNTIF(Draft_Import!$D$2:'Draft_Import'!$D218,K$1),"")</f>
        <v/>
      </c>
      <c r="M218">
        <f>IF(Draft_Import!$D218=M$1,COUNTIF(Draft_Import!$D$2:'Draft_Import'!$D218,M$1),"")</f>
        <v/>
      </c>
      <c r="O218">
        <f>IF(Draft_Import!$D218=O$1,COUNTIF(Draft_Import!$D$2:'Draft_Import'!$D218,O$1),"")</f>
        <v/>
      </c>
      <c r="Q218">
        <f>IF(Draft_Import!$D218=Q$1,COUNTIF(Draft_Import!$D$2:'Draft_Import'!$D218,Q$1),"")</f>
        <v/>
      </c>
      <c r="S218">
        <f>IF(Draft_Import!$D218=S$1,COUNTIF(Draft_Import!$D$2:'Draft_Import'!$D218,S$1),"")</f>
        <v/>
      </c>
    </row>
    <row r="219">
      <c r="A219">
        <f>IF(Draft_Import!$D219=A$1,COUNTIF(Draft_Import!$D$2:'Draft_Import'!$D219,A$1),"")</f>
        <v/>
      </c>
      <c r="C219">
        <f>IF(Draft_Import!$D219=C$1,COUNTIF(Draft_Import!$D$2:'Draft_Import'!$D219,C$1),"")</f>
        <v/>
      </c>
      <c r="E219">
        <f>IF(Draft_Import!$D219=E$1,COUNTIF(Draft_Import!$D$2:'Draft_Import'!$D219,E$1),"")</f>
        <v/>
      </c>
      <c r="G219">
        <f>IF(Draft_Import!$D219=G$1,COUNTIF(Draft_Import!$D$2:'Draft_Import'!$D219,G$1),"")</f>
        <v/>
      </c>
      <c r="I219">
        <f>IF(Draft_Import!$D219=I$1,COUNTIF(Draft_Import!$D$2:'Draft_Import'!$D219,I$1),"")</f>
        <v/>
      </c>
      <c r="K219">
        <f>IF(Draft_Import!$D219=K$1,COUNTIF(Draft_Import!$D$2:'Draft_Import'!$D219,K$1),"")</f>
        <v/>
      </c>
      <c r="M219">
        <f>IF(Draft_Import!$D219=M$1,COUNTIF(Draft_Import!$D$2:'Draft_Import'!$D219,M$1),"")</f>
        <v/>
      </c>
      <c r="O219">
        <f>IF(Draft_Import!$D219=O$1,COUNTIF(Draft_Import!$D$2:'Draft_Import'!$D219,O$1),"")</f>
        <v/>
      </c>
      <c r="Q219">
        <f>IF(Draft_Import!$D219=Q$1,COUNTIF(Draft_Import!$D$2:'Draft_Import'!$D219,Q$1),"")</f>
        <v/>
      </c>
      <c r="S219">
        <f>IF(Draft_Import!$D219=S$1,COUNTIF(Draft_Import!$D$2:'Draft_Import'!$D219,S$1),"")</f>
        <v/>
      </c>
    </row>
    <row r="220">
      <c r="A220">
        <f>IF(Draft_Import!$D220=A$1,COUNTIF(Draft_Import!$D$2:'Draft_Import'!$D220,A$1),"")</f>
        <v/>
      </c>
      <c r="C220">
        <f>IF(Draft_Import!$D220=C$1,COUNTIF(Draft_Import!$D$2:'Draft_Import'!$D220,C$1),"")</f>
        <v/>
      </c>
      <c r="E220">
        <f>IF(Draft_Import!$D220=E$1,COUNTIF(Draft_Import!$D$2:'Draft_Import'!$D220,E$1),"")</f>
        <v/>
      </c>
      <c r="G220">
        <f>IF(Draft_Import!$D220=G$1,COUNTIF(Draft_Import!$D$2:'Draft_Import'!$D220,G$1),"")</f>
        <v/>
      </c>
      <c r="I220">
        <f>IF(Draft_Import!$D220=I$1,COUNTIF(Draft_Import!$D$2:'Draft_Import'!$D220,I$1),"")</f>
        <v/>
      </c>
      <c r="K220">
        <f>IF(Draft_Import!$D220=K$1,COUNTIF(Draft_Import!$D$2:'Draft_Import'!$D220,K$1),"")</f>
        <v/>
      </c>
      <c r="M220">
        <f>IF(Draft_Import!$D220=M$1,COUNTIF(Draft_Import!$D$2:'Draft_Import'!$D220,M$1),"")</f>
        <v/>
      </c>
      <c r="O220">
        <f>IF(Draft_Import!$D220=O$1,COUNTIF(Draft_Import!$D$2:'Draft_Import'!$D220,O$1),"")</f>
        <v/>
      </c>
      <c r="Q220">
        <f>IF(Draft_Import!$D220=Q$1,COUNTIF(Draft_Import!$D$2:'Draft_Import'!$D220,Q$1),"")</f>
        <v/>
      </c>
      <c r="S220">
        <f>IF(Draft_Import!$D220=S$1,COUNTIF(Draft_Import!$D$2:'Draft_Import'!$D220,S$1),"")</f>
        <v/>
      </c>
    </row>
    <row r="221">
      <c r="A221">
        <f>IF(Draft_Import!$D221=A$1,COUNTIF(Draft_Import!$D$2:'Draft_Import'!$D221,A$1),"")</f>
        <v/>
      </c>
      <c r="C221">
        <f>IF(Draft_Import!$D221=C$1,COUNTIF(Draft_Import!$D$2:'Draft_Import'!$D221,C$1),"")</f>
        <v/>
      </c>
      <c r="E221">
        <f>IF(Draft_Import!$D221=E$1,COUNTIF(Draft_Import!$D$2:'Draft_Import'!$D221,E$1),"")</f>
        <v/>
      </c>
      <c r="G221">
        <f>IF(Draft_Import!$D221=G$1,COUNTIF(Draft_Import!$D$2:'Draft_Import'!$D221,G$1),"")</f>
        <v/>
      </c>
      <c r="I221">
        <f>IF(Draft_Import!$D221=I$1,COUNTIF(Draft_Import!$D$2:'Draft_Import'!$D221,I$1),"")</f>
        <v/>
      </c>
      <c r="K221">
        <f>IF(Draft_Import!$D221=K$1,COUNTIF(Draft_Import!$D$2:'Draft_Import'!$D221,K$1),"")</f>
        <v/>
      </c>
      <c r="M221">
        <f>IF(Draft_Import!$D221=M$1,COUNTIF(Draft_Import!$D$2:'Draft_Import'!$D221,M$1),"")</f>
        <v/>
      </c>
      <c r="O221">
        <f>IF(Draft_Import!$D221=O$1,COUNTIF(Draft_Import!$D$2:'Draft_Import'!$D221,O$1),"")</f>
        <v/>
      </c>
      <c r="Q221">
        <f>IF(Draft_Import!$D221=Q$1,COUNTIF(Draft_Import!$D$2:'Draft_Import'!$D221,Q$1),"")</f>
        <v/>
      </c>
      <c r="S221">
        <f>IF(Draft_Import!$D221=S$1,COUNTIF(Draft_Import!$D$2:'Draft_Import'!$D221,S$1),"")</f>
        <v/>
      </c>
    </row>
    <row r="222">
      <c r="A222">
        <f>IF(Draft_Import!$D222=A$1,COUNTIF(Draft_Import!$D$2:'Draft_Import'!$D222,A$1),"")</f>
        <v/>
      </c>
      <c r="C222">
        <f>IF(Draft_Import!$D222=C$1,COUNTIF(Draft_Import!$D$2:'Draft_Import'!$D222,C$1),"")</f>
        <v/>
      </c>
      <c r="E222">
        <f>IF(Draft_Import!$D222=E$1,COUNTIF(Draft_Import!$D$2:'Draft_Import'!$D222,E$1),"")</f>
        <v/>
      </c>
      <c r="G222">
        <f>IF(Draft_Import!$D222=G$1,COUNTIF(Draft_Import!$D$2:'Draft_Import'!$D222,G$1),"")</f>
        <v/>
      </c>
      <c r="I222">
        <f>IF(Draft_Import!$D222=I$1,COUNTIF(Draft_Import!$D$2:'Draft_Import'!$D222,I$1),"")</f>
        <v/>
      </c>
      <c r="K222">
        <f>IF(Draft_Import!$D222=K$1,COUNTIF(Draft_Import!$D$2:'Draft_Import'!$D222,K$1),"")</f>
        <v/>
      </c>
      <c r="M222">
        <f>IF(Draft_Import!$D222=M$1,COUNTIF(Draft_Import!$D$2:'Draft_Import'!$D222,M$1),"")</f>
        <v/>
      </c>
      <c r="O222">
        <f>IF(Draft_Import!$D222=O$1,COUNTIF(Draft_Import!$D$2:'Draft_Import'!$D222,O$1),"")</f>
        <v/>
      </c>
      <c r="Q222">
        <f>IF(Draft_Import!$D222=Q$1,COUNTIF(Draft_Import!$D$2:'Draft_Import'!$D222,Q$1),"")</f>
        <v/>
      </c>
      <c r="S222">
        <f>IF(Draft_Import!$D222=S$1,COUNTIF(Draft_Import!$D$2:'Draft_Import'!$D222,S$1),"")</f>
        <v/>
      </c>
    </row>
    <row r="223">
      <c r="A223">
        <f>IF(Draft_Import!$D223=A$1,COUNTIF(Draft_Import!$D$2:'Draft_Import'!$D223,A$1),"")</f>
        <v/>
      </c>
      <c r="C223">
        <f>IF(Draft_Import!$D223=C$1,COUNTIF(Draft_Import!$D$2:'Draft_Import'!$D223,C$1),"")</f>
        <v/>
      </c>
      <c r="E223">
        <f>IF(Draft_Import!$D223=E$1,COUNTIF(Draft_Import!$D$2:'Draft_Import'!$D223,E$1),"")</f>
        <v/>
      </c>
      <c r="G223">
        <f>IF(Draft_Import!$D223=G$1,COUNTIF(Draft_Import!$D$2:'Draft_Import'!$D223,G$1),"")</f>
        <v/>
      </c>
      <c r="I223">
        <f>IF(Draft_Import!$D223=I$1,COUNTIF(Draft_Import!$D$2:'Draft_Import'!$D223,I$1),"")</f>
        <v/>
      </c>
      <c r="K223">
        <f>IF(Draft_Import!$D223=K$1,COUNTIF(Draft_Import!$D$2:'Draft_Import'!$D223,K$1),"")</f>
        <v/>
      </c>
      <c r="M223">
        <f>IF(Draft_Import!$D223=M$1,COUNTIF(Draft_Import!$D$2:'Draft_Import'!$D223,M$1),"")</f>
        <v/>
      </c>
      <c r="O223">
        <f>IF(Draft_Import!$D223=O$1,COUNTIF(Draft_Import!$D$2:'Draft_Import'!$D223,O$1),"")</f>
        <v/>
      </c>
      <c r="Q223">
        <f>IF(Draft_Import!$D223=Q$1,COUNTIF(Draft_Import!$D$2:'Draft_Import'!$D223,Q$1),"")</f>
        <v/>
      </c>
      <c r="S223">
        <f>IF(Draft_Import!$D223=S$1,COUNTIF(Draft_Import!$D$2:'Draft_Import'!$D223,S$1),"")</f>
        <v/>
      </c>
    </row>
    <row r="224">
      <c r="A224">
        <f>IF(Draft_Import!$D224=A$1,COUNTIF(Draft_Import!$D$2:'Draft_Import'!$D224,A$1),"")</f>
        <v/>
      </c>
      <c r="C224">
        <f>IF(Draft_Import!$D224=C$1,COUNTIF(Draft_Import!$D$2:'Draft_Import'!$D224,C$1),"")</f>
        <v/>
      </c>
      <c r="E224">
        <f>IF(Draft_Import!$D224=E$1,COUNTIF(Draft_Import!$D$2:'Draft_Import'!$D224,E$1),"")</f>
        <v/>
      </c>
      <c r="G224">
        <f>IF(Draft_Import!$D224=G$1,COUNTIF(Draft_Import!$D$2:'Draft_Import'!$D224,G$1),"")</f>
        <v/>
      </c>
      <c r="I224">
        <f>IF(Draft_Import!$D224=I$1,COUNTIF(Draft_Import!$D$2:'Draft_Import'!$D224,I$1),"")</f>
        <v/>
      </c>
      <c r="K224">
        <f>IF(Draft_Import!$D224=K$1,COUNTIF(Draft_Import!$D$2:'Draft_Import'!$D224,K$1),"")</f>
        <v/>
      </c>
      <c r="M224">
        <f>IF(Draft_Import!$D224=M$1,COUNTIF(Draft_Import!$D$2:'Draft_Import'!$D224,M$1),"")</f>
        <v/>
      </c>
      <c r="O224">
        <f>IF(Draft_Import!$D224=O$1,COUNTIF(Draft_Import!$D$2:'Draft_Import'!$D224,O$1),"")</f>
        <v/>
      </c>
      <c r="Q224">
        <f>IF(Draft_Import!$D224=Q$1,COUNTIF(Draft_Import!$D$2:'Draft_Import'!$D224,Q$1),"")</f>
        <v/>
      </c>
      <c r="S224">
        <f>IF(Draft_Import!$D224=S$1,COUNTIF(Draft_Import!$D$2:'Draft_Import'!$D224,S$1),"")</f>
        <v/>
      </c>
    </row>
    <row r="225">
      <c r="A225">
        <f>IF(Draft_Import!$D225=A$1,COUNTIF(Draft_Import!$D$2:'Draft_Import'!$D225,A$1),"")</f>
        <v/>
      </c>
      <c r="C225">
        <f>IF(Draft_Import!$D225=C$1,COUNTIF(Draft_Import!$D$2:'Draft_Import'!$D225,C$1),"")</f>
        <v/>
      </c>
      <c r="E225">
        <f>IF(Draft_Import!$D225=E$1,COUNTIF(Draft_Import!$D$2:'Draft_Import'!$D225,E$1),"")</f>
        <v/>
      </c>
      <c r="G225">
        <f>IF(Draft_Import!$D225=G$1,COUNTIF(Draft_Import!$D$2:'Draft_Import'!$D225,G$1),"")</f>
        <v/>
      </c>
      <c r="I225">
        <f>IF(Draft_Import!$D225=I$1,COUNTIF(Draft_Import!$D$2:'Draft_Import'!$D225,I$1),"")</f>
        <v/>
      </c>
      <c r="K225">
        <f>IF(Draft_Import!$D225=K$1,COUNTIF(Draft_Import!$D$2:'Draft_Import'!$D225,K$1),"")</f>
        <v/>
      </c>
      <c r="M225">
        <f>IF(Draft_Import!$D225=M$1,COUNTIF(Draft_Import!$D$2:'Draft_Import'!$D225,M$1),"")</f>
        <v/>
      </c>
      <c r="O225">
        <f>IF(Draft_Import!$D225=O$1,COUNTIF(Draft_Import!$D$2:'Draft_Import'!$D225,O$1),"")</f>
        <v/>
      </c>
      <c r="Q225">
        <f>IF(Draft_Import!$D225=Q$1,COUNTIF(Draft_Import!$D$2:'Draft_Import'!$D225,Q$1),"")</f>
        <v/>
      </c>
      <c r="S225">
        <f>IF(Draft_Import!$D225=S$1,COUNTIF(Draft_Import!$D$2:'Draft_Import'!$D225,S$1),"")</f>
        <v/>
      </c>
    </row>
    <row r="226">
      <c r="A226">
        <f>IF(Draft_Import!$D226=A$1,COUNTIF(Draft_Import!$D$2:'Draft_Import'!$D226,A$1),"")</f>
        <v/>
      </c>
      <c r="C226">
        <f>IF(Draft_Import!$D226=C$1,COUNTIF(Draft_Import!$D$2:'Draft_Import'!$D226,C$1),"")</f>
        <v/>
      </c>
      <c r="E226">
        <f>IF(Draft_Import!$D226=E$1,COUNTIF(Draft_Import!$D$2:'Draft_Import'!$D226,E$1),"")</f>
        <v/>
      </c>
      <c r="G226">
        <f>IF(Draft_Import!$D226=G$1,COUNTIF(Draft_Import!$D$2:'Draft_Import'!$D226,G$1),"")</f>
        <v/>
      </c>
      <c r="I226">
        <f>IF(Draft_Import!$D226=I$1,COUNTIF(Draft_Import!$D$2:'Draft_Import'!$D226,I$1),"")</f>
        <v/>
      </c>
      <c r="K226">
        <f>IF(Draft_Import!$D226=K$1,COUNTIF(Draft_Import!$D$2:'Draft_Import'!$D226,K$1),"")</f>
        <v/>
      </c>
      <c r="M226">
        <f>IF(Draft_Import!$D226=M$1,COUNTIF(Draft_Import!$D$2:'Draft_Import'!$D226,M$1),"")</f>
        <v/>
      </c>
      <c r="O226">
        <f>IF(Draft_Import!$D226=O$1,COUNTIF(Draft_Import!$D$2:'Draft_Import'!$D226,O$1),"")</f>
        <v/>
      </c>
      <c r="Q226">
        <f>IF(Draft_Import!$D226=Q$1,COUNTIF(Draft_Import!$D$2:'Draft_Import'!$D226,Q$1),"")</f>
        <v/>
      </c>
      <c r="S226">
        <f>IF(Draft_Import!$D226=S$1,COUNTIF(Draft_Import!$D$2:'Draft_Import'!$D226,S$1),"")</f>
        <v/>
      </c>
    </row>
    <row r="227">
      <c r="A227">
        <f>IF(Draft_Import!$D227=A$1,COUNTIF(Draft_Import!$D$2:'Draft_Import'!$D227,A$1),"")</f>
        <v/>
      </c>
      <c r="C227">
        <f>IF(Draft_Import!$D227=C$1,COUNTIF(Draft_Import!$D$2:'Draft_Import'!$D227,C$1),"")</f>
        <v/>
      </c>
      <c r="E227">
        <f>IF(Draft_Import!$D227=E$1,COUNTIF(Draft_Import!$D$2:'Draft_Import'!$D227,E$1),"")</f>
        <v/>
      </c>
      <c r="G227">
        <f>IF(Draft_Import!$D227=G$1,COUNTIF(Draft_Import!$D$2:'Draft_Import'!$D227,G$1),"")</f>
        <v/>
      </c>
      <c r="I227">
        <f>IF(Draft_Import!$D227=I$1,COUNTIF(Draft_Import!$D$2:'Draft_Import'!$D227,I$1),"")</f>
        <v/>
      </c>
      <c r="K227">
        <f>IF(Draft_Import!$D227=K$1,COUNTIF(Draft_Import!$D$2:'Draft_Import'!$D227,K$1),"")</f>
        <v/>
      </c>
      <c r="M227">
        <f>IF(Draft_Import!$D227=M$1,COUNTIF(Draft_Import!$D$2:'Draft_Import'!$D227,M$1),"")</f>
        <v/>
      </c>
      <c r="O227">
        <f>IF(Draft_Import!$D227=O$1,COUNTIF(Draft_Import!$D$2:'Draft_Import'!$D227,O$1),"")</f>
        <v/>
      </c>
      <c r="Q227">
        <f>IF(Draft_Import!$D227=Q$1,COUNTIF(Draft_Import!$D$2:'Draft_Import'!$D227,Q$1),"")</f>
        <v/>
      </c>
      <c r="S227">
        <f>IF(Draft_Import!$D227=S$1,COUNTIF(Draft_Import!$D$2:'Draft_Import'!$D227,S$1),"")</f>
        <v/>
      </c>
    </row>
    <row r="228">
      <c r="A228">
        <f>IF(Draft_Import!$D228=A$1,COUNTIF(Draft_Import!$D$2:'Draft_Import'!$D228,A$1),"")</f>
        <v/>
      </c>
      <c r="C228">
        <f>IF(Draft_Import!$D228=C$1,COUNTIF(Draft_Import!$D$2:'Draft_Import'!$D228,C$1),"")</f>
        <v/>
      </c>
      <c r="E228">
        <f>IF(Draft_Import!$D228=E$1,COUNTIF(Draft_Import!$D$2:'Draft_Import'!$D228,E$1),"")</f>
        <v/>
      </c>
      <c r="G228">
        <f>IF(Draft_Import!$D228=G$1,COUNTIF(Draft_Import!$D$2:'Draft_Import'!$D228,G$1),"")</f>
        <v/>
      </c>
      <c r="I228">
        <f>IF(Draft_Import!$D228=I$1,COUNTIF(Draft_Import!$D$2:'Draft_Import'!$D228,I$1),"")</f>
        <v/>
      </c>
      <c r="K228">
        <f>IF(Draft_Import!$D228=K$1,COUNTIF(Draft_Import!$D$2:'Draft_Import'!$D228,K$1),"")</f>
        <v/>
      </c>
      <c r="M228">
        <f>IF(Draft_Import!$D228=M$1,COUNTIF(Draft_Import!$D$2:'Draft_Import'!$D228,M$1),"")</f>
        <v/>
      </c>
      <c r="O228">
        <f>IF(Draft_Import!$D228=O$1,COUNTIF(Draft_Import!$D$2:'Draft_Import'!$D228,O$1),"")</f>
        <v/>
      </c>
      <c r="Q228">
        <f>IF(Draft_Import!$D228=Q$1,COUNTIF(Draft_Import!$D$2:'Draft_Import'!$D228,Q$1),"")</f>
        <v/>
      </c>
      <c r="S228">
        <f>IF(Draft_Import!$D228=S$1,COUNTIF(Draft_Import!$D$2:'Draft_Import'!$D228,S$1),"")</f>
        <v/>
      </c>
    </row>
    <row r="229">
      <c r="A229">
        <f>IF(Draft_Import!$D229=A$1,COUNTIF(Draft_Import!$D$2:'Draft_Import'!$D229,A$1),"")</f>
        <v/>
      </c>
      <c r="C229">
        <f>IF(Draft_Import!$D229=C$1,COUNTIF(Draft_Import!$D$2:'Draft_Import'!$D229,C$1),"")</f>
        <v/>
      </c>
      <c r="E229">
        <f>IF(Draft_Import!$D229=E$1,COUNTIF(Draft_Import!$D$2:'Draft_Import'!$D229,E$1),"")</f>
        <v/>
      </c>
      <c r="G229">
        <f>IF(Draft_Import!$D229=G$1,COUNTIF(Draft_Import!$D$2:'Draft_Import'!$D229,G$1),"")</f>
        <v/>
      </c>
      <c r="I229">
        <f>IF(Draft_Import!$D229=I$1,COUNTIF(Draft_Import!$D$2:'Draft_Import'!$D229,I$1),"")</f>
        <v/>
      </c>
      <c r="K229">
        <f>IF(Draft_Import!$D229=K$1,COUNTIF(Draft_Import!$D$2:'Draft_Import'!$D229,K$1),"")</f>
        <v/>
      </c>
      <c r="M229">
        <f>IF(Draft_Import!$D229=M$1,COUNTIF(Draft_Import!$D$2:'Draft_Import'!$D229,M$1),"")</f>
        <v/>
      </c>
      <c r="O229">
        <f>IF(Draft_Import!$D229=O$1,COUNTIF(Draft_Import!$D$2:'Draft_Import'!$D229,O$1),"")</f>
        <v/>
      </c>
      <c r="Q229">
        <f>IF(Draft_Import!$D229=Q$1,COUNTIF(Draft_Import!$D$2:'Draft_Import'!$D229,Q$1),"")</f>
        <v/>
      </c>
      <c r="S229">
        <f>IF(Draft_Import!$D229=S$1,COUNTIF(Draft_Import!$D$2:'Draft_Import'!$D229,S$1),"")</f>
        <v/>
      </c>
    </row>
    <row r="230">
      <c r="A230">
        <f>IF(Draft_Import!$D230=A$1,COUNTIF(Draft_Import!$D$2:'Draft_Import'!$D230,A$1),"")</f>
        <v/>
      </c>
      <c r="C230">
        <f>IF(Draft_Import!$D230=C$1,COUNTIF(Draft_Import!$D$2:'Draft_Import'!$D230,C$1),"")</f>
        <v/>
      </c>
      <c r="E230">
        <f>IF(Draft_Import!$D230=E$1,COUNTIF(Draft_Import!$D$2:'Draft_Import'!$D230,E$1),"")</f>
        <v/>
      </c>
      <c r="G230">
        <f>IF(Draft_Import!$D230=G$1,COUNTIF(Draft_Import!$D$2:'Draft_Import'!$D230,G$1),"")</f>
        <v/>
      </c>
      <c r="I230">
        <f>IF(Draft_Import!$D230=I$1,COUNTIF(Draft_Import!$D$2:'Draft_Import'!$D230,I$1),"")</f>
        <v/>
      </c>
      <c r="K230">
        <f>IF(Draft_Import!$D230=K$1,COUNTIF(Draft_Import!$D$2:'Draft_Import'!$D230,K$1),"")</f>
        <v/>
      </c>
      <c r="M230">
        <f>IF(Draft_Import!$D230=M$1,COUNTIF(Draft_Import!$D$2:'Draft_Import'!$D230,M$1),"")</f>
        <v/>
      </c>
      <c r="O230">
        <f>IF(Draft_Import!$D230=O$1,COUNTIF(Draft_Import!$D$2:'Draft_Import'!$D230,O$1),"")</f>
        <v/>
      </c>
      <c r="Q230">
        <f>IF(Draft_Import!$D230=Q$1,COUNTIF(Draft_Import!$D$2:'Draft_Import'!$D230,Q$1),"")</f>
        <v/>
      </c>
      <c r="S230">
        <f>IF(Draft_Import!$D230=S$1,COUNTIF(Draft_Import!$D$2:'Draft_Import'!$D230,S$1),"")</f>
        <v/>
      </c>
    </row>
    <row r="231">
      <c r="A231">
        <f>IF(Draft_Import!$D231=A$1,COUNTIF(Draft_Import!$D$2:'Draft_Import'!$D231,A$1),"")</f>
        <v/>
      </c>
      <c r="C231">
        <f>IF(Draft_Import!$D231=C$1,COUNTIF(Draft_Import!$D$2:'Draft_Import'!$D231,C$1),"")</f>
        <v/>
      </c>
      <c r="E231">
        <f>IF(Draft_Import!$D231=E$1,COUNTIF(Draft_Import!$D$2:'Draft_Import'!$D231,E$1),"")</f>
        <v/>
      </c>
      <c r="G231">
        <f>IF(Draft_Import!$D231=G$1,COUNTIF(Draft_Import!$D$2:'Draft_Import'!$D231,G$1),"")</f>
        <v/>
      </c>
      <c r="I231">
        <f>IF(Draft_Import!$D231=I$1,COUNTIF(Draft_Import!$D$2:'Draft_Import'!$D231,I$1),"")</f>
        <v/>
      </c>
      <c r="K231">
        <f>IF(Draft_Import!$D231=K$1,COUNTIF(Draft_Import!$D$2:'Draft_Import'!$D231,K$1),"")</f>
        <v/>
      </c>
      <c r="M231">
        <f>IF(Draft_Import!$D231=M$1,COUNTIF(Draft_Import!$D$2:'Draft_Import'!$D231,M$1),"")</f>
        <v/>
      </c>
      <c r="O231">
        <f>IF(Draft_Import!$D231=O$1,COUNTIF(Draft_Import!$D$2:'Draft_Import'!$D231,O$1),"")</f>
        <v/>
      </c>
      <c r="Q231">
        <f>IF(Draft_Import!$D231=Q$1,COUNTIF(Draft_Import!$D$2:'Draft_Import'!$D231,Q$1),"")</f>
        <v/>
      </c>
      <c r="S231">
        <f>IF(Draft_Import!$D231=S$1,COUNTIF(Draft_Import!$D$2:'Draft_Import'!$D231,S$1),"")</f>
        <v/>
      </c>
    </row>
    <row r="232">
      <c r="A232">
        <f>IF(Draft_Import!$D232=A$1,COUNTIF(Draft_Import!$D$2:'Draft_Import'!$D232,A$1),"")</f>
        <v/>
      </c>
      <c r="C232">
        <f>IF(Draft_Import!$D232=C$1,COUNTIF(Draft_Import!$D$2:'Draft_Import'!$D232,C$1),"")</f>
        <v/>
      </c>
      <c r="E232">
        <f>IF(Draft_Import!$D232=E$1,COUNTIF(Draft_Import!$D$2:'Draft_Import'!$D232,E$1),"")</f>
        <v/>
      </c>
      <c r="G232">
        <f>IF(Draft_Import!$D232=G$1,COUNTIF(Draft_Import!$D$2:'Draft_Import'!$D232,G$1),"")</f>
        <v/>
      </c>
      <c r="I232">
        <f>IF(Draft_Import!$D232=I$1,COUNTIF(Draft_Import!$D$2:'Draft_Import'!$D232,I$1),"")</f>
        <v/>
      </c>
      <c r="K232">
        <f>IF(Draft_Import!$D232=K$1,COUNTIF(Draft_Import!$D$2:'Draft_Import'!$D232,K$1),"")</f>
        <v/>
      </c>
      <c r="M232">
        <f>IF(Draft_Import!$D232=M$1,COUNTIF(Draft_Import!$D$2:'Draft_Import'!$D232,M$1),"")</f>
        <v/>
      </c>
      <c r="O232">
        <f>IF(Draft_Import!$D232=O$1,COUNTIF(Draft_Import!$D$2:'Draft_Import'!$D232,O$1),"")</f>
        <v/>
      </c>
      <c r="Q232">
        <f>IF(Draft_Import!$D232=Q$1,COUNTIF(Draft_Import!$D$2:'Draft_Import'!$D232,Q$1),"")</f>
        <v/>
      </c>
      <c r="S232">
        <f>IF(Draft_Import!$D232=S$1,COUNTIF(Draft_Import!$D$2:'Draft_Import'!$D232,S$1),"")</f>
        <v/>
      </c>
    </row>
    <row r="233">
      <c r="A233">
        <f>IF(Draft_Import!$D233=A$1,COUNTIF(Draft_Import!$D$2:'Draft_Import'!$D233,A$1),"")</f>
        <v/>
      </c>
      <c r="C233">
        <f>IF(Draft_Import!$D233=C$1,COUNTIF(Draft_Import!$D$2:'Draft_Import'!$D233,C$1),"")</f>
        <v/>
      </c>
      <c r="E233">
        <f>IF(Draft_Import!$D233=E$1,COUNTIF(Draft_Import!$D$2:'Draft_Import'!$D233,E$1),"")</f>
        <v/>
      </c>
      <c r="G233">
        <f>IF(Draft_Import!$D233=G$1,COUNTIF(Draft_Import!$D$2:'Draft_Import'!$D233,G$1),"")</f>
        <v/>
      </c>
      <c r="I233">
        <f>IF(Draft_Import!$D233=I$1,COUNTIF(Draft_Import!$D$2:'Draft_Import'!$D233,I$1),"")</f>
        <v/>
      </c>
      <c r="K233">
        <f>IF(Draft_Import!$D233=K$1,COUNTIF(Draft_Import!$D$2:'Draft_Import'!$D233,K$1),"")</f>
        <v/>
      </c>
      <c r="M233">
        <f>IF(Draft_Import!$D233=M$1,COUNTIF(Draft_Import!$D$2:'Draft_Import'!$D233,M$1),"")</f>
        <v/>
      </c>
      <c r="O233">
        <f>IF(Draft_Import!$D233=O$1,COUNTIF(Draft_Import!$D$2:'Draft_Import'!$D233,O$1),"")</f>
        <v/>
      </c>
      <c r="Q233">
        <f>IF(Draft_Import!$D233=Q$1,COUNTIF(Draft_Import!$D$2:'Draft_Import'!$D233,Q$1),"")</f>
        <v/>
      </c>
      <c r="S233">
        <f>IF(Draft_Import!$D233=S$1,COUNTIF(Draft_Import!$D$2:'Draft_Import'!$D233,S$1),"")</f>
        <v/>
      </c>
    </row>
    <row r="234">
      <c r="A234">
        <f>IF(Draft_Import!$D234=A$1,COUNTIF(Draft_Import!$D$2:'Draft_Import'!$D234,A$1),"")</f>
        <v/>
      </c>
      <c r="C234">
        <f>IF(Draft_Import!$D234=C$1,COUNTIF(Draft_Import!$D$2:'Draft_Import'!$D234,C$1),"")</f>
        <v/>
      </c>
      <c r="E234">
        <f>IF(Draft_Import!$D234=E$1,COUNTIF(Draft_Import!$D$2:'Draft_Import'!$D234,E$1),"")</f>
        <v/>
      </c>
      <c r="G234">
        <f>IF(Draft_Import!$D234=G$1,COUNTIF(Draft_Import!$D$2:'Draft_Import'!$D234,G$1),"")</f>
        <v/>
      </c>
      <c r="I234">
        <f>IF(Draft_Import!$D234=I$1,COUNTIF(Draft_Import!$D$2:'Draft_Import'!$D234,I$1),"")</f>
        <v/>
      </c>
      <c r="K234">
        <f>IF(Draft_Import!$D234=K$1,COUNTIF(Draft_Import!$D$2:'Draft_Import'!$D234,K$1),"")</f>
        <v/>
      </c>
      <c r="M234">
        <f>IF(Draft_Import!$D234=M$1,COUNTIF(Draft_Import!$D$2:'Draft_Import'!$D234,M$1),"")</f>
        <v/>
      </c>
      <c r="O234">
        <f>IF(Draft_Import!$D234=O$1,COUNTIF(Draft_Import!$D$2:'Draft_Import'!$D234,O$1),"")</f>
        <v/>
      </c>
      <c r="Q234">
        <f>IF(Draft_Import!$D234=Q$1,COUNTIF(Draft_Import!$D$2:'Draft_Import'!$D234,Q$1),"")</f>
        <v/>
      </c>
      <c r="S234">
        <f>IF(Draft_Import!$D234=S$1,COUNTIF(Draft_Import!$D$2:'Draft_Import'!$D234,S$1),"")</f>
        <v/>
      </c>
    </row>
    <row r="235">
      <c r="A235">
        <f>IF(Draft_Import!$D235=A$1,COUNTIF(Draft_Import!$D$2:'Draft_Import'!$D235,A$1),"")</f>
        <v/>
      </c>
      <c r="C235">
        <f>IF(Draft_Import!$D235=C$1,COUNTIF(Draft_Import!$D$2:'Draft_Import'!$D235,C$1),"")</f>
        <v/>
      </c>
      <c r="E235">
        <f>IF(Draft_Import!$D235=E$1,COUNTIF(Draft_Import!$D$2:'Draft_Import'!$D235,E$1),"")</f>
        <v/>
      </c>
      <c r="G235">
        <f>IF(Draft_Import!$D235=G$1,COUNTIF(Draft_Import!$D$2:'Draft_Import'!$D235,G$1),"")</f>
        <v/>
      </c>
      <c r="I235">
        <f>IF(Draft_Import!$D235=I$1,COUNTIF(Draft_Import!$D$2:'Draft_Import'!$D235,I$1),"")</f>
        <v/>
      </c>
      <c r="K235">
        <f>IF(Draft_Import!$D235=K$1,COUNTIF(Draft_Import!$D$2:'Draft_Import'!$D235,K$1),"")</f>
        <v/>
      </c>
      <c r="M235">
        <f>IF(Draft_Import!$D235=M$1,COUNTIF(Draft_Import!$D$2:'Draft_Import'!$D235,M$1),"")</f>
        <v/>
      </c>
      <c r="O235">
        <f>IF(Draft_Import!$D235=O$1,COUNTIF(Draft_Import!$D$2:'Draft_Import'!$D235,O$1),"")</f>
        <v/>
      </c>
      <c r="Q235">
        <f>IF(Draft_Import!$D235=Q$1,COUNTIF(Draft_Import!$D$2:'Draft_Import'!$D235,Q$1),"")</f>
        <v/>
      </c>
      <c r="S235">
        <f>IF(Draft_Import!$D235=S$1,COUNTIF(Draft_Import!$D$2:'Draft_Import'!$D235,S$1),"")</f>
        <v/>
      </c>
    </row>
    <row r="236">
      <c r="A236">
        <f>IF(Draft_Import!$D236=A$1,COUNTIF(Draft_Import!$D$2:'Draft_Import'!$D236,A$1),"")</f>
        <v/>
      </c>
      <c r="C236">
        <f>IF(Draft_Import!$D236=C$1,COUNTIF(Draft_Import!$D$2:'Draft_Import'!$D236,C$1),"")</f>
        <v/>
      </c>
      <c r="E236">
        <f>IF(Draft_Import!$D236=E$1,COUNTIF(Draft_Import!$D$2:'Draft_Import'!$D236,E$1),"")</f>
        <v/>
      </c>
      <c r="G236">
        <f>IF(Draft_Import!$D236=G$1,COUNTIF(Draft_Import!$D$2:'Draft_Import'!$D236,G$1),"")</f>
        <v/>
      </c>
      <c r="I236">
        <f>IF(Draft_Import!$D236=I$1,COUNTIF(Draft_Import!$D$2:'Draft_Import'!$D236,I$1),"")</f>
        <v/>
      </c>
      <c r="K236">
        <f>IF(Draft_Import!$D236=K$1,COUNTIF(Draft_Import!$D$2:'Draft_Import'!$D236,K$1),"")</f>
        <v/>
      </c>
      <c r="M236">
        <f>IF(Draft_Import!$D236=M$1,COUNTIF(Draft_Import!$D$2:'Draft_Import'!$D236,M$1),"")</f>
        <v/>
      </c>
      <c r="O236">
        <f>IF(Draft_Import!$D236=O$1,COUNTIF(Draft_Import!$D$2:'Draft_Import'!$D236,O$1),"")</f>
        <v/>
      </c>
      <c r="Q236">
        <f>IF(Draft_Import!$D236=Q$1,COUNTIF(Draft_Import!$D$2:'Draft_Import'!$D236,Q$1),"")</f>
        <v/>
      </c>
      <c r="S236">
        <f>IF(Draft_Import!$D236=S$1,COUNTIF(Draft_Import!$D$2:'Draft_Import'!$D236,S$1),"")</f>
        <v/>
      </c>
    </row>
    <row r="237">
      <c r="A237">
        <f>IF(Draft_Import!$D237=A$1,COUNTIF(Draft_Import!$D$2:'Draft_Import'!$D237,A$1),"")</f>
        <v/>
      </c>
      <c r="C237">
        <f>IF(Draft_Import!$D237=C$1,COUNTIF(Draft_Import!$D$2:'Draft_Import'!$D237,C$1),"")</f>
        <v/>
      </c>
      <c r="E237">
        <f>IF(Draft_Import!$D237=E$1,COUNTIF(Draft_Import!$D$2:'Draft_Import'!$D237,E$1),"")</f>
        <v/>
      </c>
      <c r="G237">
        <f>IF(Draft_Import!$D237=G$1,COUNTIF(Draft_Import!$D$2:'Draft_Import'!$D237,G$1),"")</f>
        <v/>
      </c>
      <c r="I237">
        <f>IF(Draft_Import!$D237=I$1,COUNTIF(Draft_Import!$D$2:'Draft_Import'!$D237,I$1),"")</f>
        <v/>
      </c>
      <c r="K237">
        <f>IF(Draft_Import!$D237=K$1,COUNTIF(Draft_Import!$D$2:'Draft_Import'!$D237,K$1),"")</f>
        <v/>
      </c>
      <c r="M237">
        <f>IF(Draft_Import!$D237=M$1,COUNTIF(Draft_Import!$D$2:'Draft_Import'!$D237,M$1),"")</f>
        <v/>
      </c>
      <c r="O237">
        <f>IF(Draft_Import!$D237=O$1,COUNTIF(Draft_Import!$D$2:'Draft_Import'!$D237,O$1),"")</f>
        <v/>
      </c>
      <c r="Q237">
        <f>IF(Draft_Import!$D237=Q$1,COUNTIF(Draft_Import!$D$2:'Draft_Import'!$D237,Q$1),"")</f>
        <v/>
      </c>
      <c r="S237">
        <f>IF(Draft_Import!$D237=S$1,COUNTIF(Draft_Import!$D$2:'Draft_Import'!$D237,S$1),"")</f>
        <v/>
      </c>
    </row>
    <row r="238">
      <c r="A238">
        <f>IF(Draft_Import!$D238=A$1,COUNTIF(Draft_Import!$D$2:'Draft_Import'!$D238,A$1),"")</f>
        <v/>
      </c>
      <c r="C238">
        <f>IF(Draft_Import!$D238=C$1,COUNTIF(Draft_Import!$D$2:'Draft_Import'!$D238,C$1),"")</f>
        <v/>
      </c>
      <c r="E238">
        <f>IF(Draft_Import!$D238=E$1,COUNTIF(Draft_Import!$D$2:'Draft_Import'!$D238,E$1),"")</f>
        <v/>
      </c>
      <c r="G238">
        <f>IF(Draft_Import!$D238=G$1,COUNTIF(Draft_Import!$D$2:'Draft_Import'!$D238,G$1),"")</f>
        <v/>
      </c>
      <c r="I238">
        <f>IF(Draft_Import!$D238=I$1,COUNTIF(Draft_Import!$D$2:'Draft_Import'!$D238,I$1),"")</f>
        <v/>
      </c>
      <c r="K238">
        <f>IF(Draft_Import!$D238=K$1,COUNTIF(Draft_Import!$D$2:'Draft_Import'!$D238,K$1),"")</f>
        <v/>
      </c>
      <c r="M238">
        <f>IF(Draft_Import!$D238=M$1,COUNTIF(Draft_Import!$D$2:'Draft_Import'!$D238,M$1),"")</f>
        <v/>
      </c>
      <c r="O238">
        <f>IF(Draft_Import!$D238=O$1,COUNTIF(Draft_Import!$D$2:'Draft_Import'!$D238,O$1),"")</f>
        <v/>
      </c>
      <c r="Q238">
        <f>IF(Draft_Import!$D238=Q$1,COUNTIF(Draft_Import!$D$2:'Draft_Import'!$D238,Q$1),"")</f>
        <v/>
      </c>
      <c r="S238">
        <f>IF(Draft_Import!$D238=S$1,COUNTIF(Draft_Import!$D$2:'Draft_Import'!$D238,S$1),"")</f>
        <v/>
      </c>
    </row>
    <row r="239">
      <c r="A239">
        <f>IF(Draft_Import!$D239=A$1,COUNTIF(Draft_Import!$D$2:'Draft_Import'!$D239,A$1),"")</f>
        <v/>
      </c>
      <c r="C239">
        <f>IF(Draft_Import!$D239=C$1,COUNTIF(Draft_Import!$D$2:'Draft_Import'!$D239,C$1),"")</f>
        <v/>
      </c>
      <c r="E239">
        <f>IF(Draft_Import!$D239=E$1,COUNTIF(Draft_Import!$D$2:'Draft_Import'!$D239,E$1),"")</f>
        <v/>
      </c>
      <c r="G239">
        <f>IF(Draft_Import!$D239=G$1,COUNTIF(Draft_Import!$D$2:'Draft_Import'!$D239,G$1),"")</f>
        <v/>
      </c>
      <c r="I239">
        <f>IF(Draft_Import!$D239=I$1,COUNTIF(Draft_Import!$D$2:'Draft_Import'!$D239,I$1),"")</f>
        <v/>
      </c>
      <c r="K239">
        <f>IF(Draft_Import!$D239=K$1,COUNTIF(Draft_Import!$D$2:'Draft_Import'!$D239,K$1),"")</f>
        <v/>
      </c>
      <c r="M239">
        <f>IF(Draft_Import!$D239=M$1,COUNTIF(Draft_Import!$D$2:'Draft_Import'!$D239,M$1),"")</f>
        <v/>
      </c>
      <c r="O239">
        <f>IF(Draft_Import!$D239=O$1,COUNTIF(Draft_Import!$D$2:'Draft_Import'!$D239,O$1),"")</f>
        <v/>
      </c>
      <c r="Q239">
        <f>IF(Draft_Import!$D239=Q$1,COUNTIF(Draft_Import!$D$2:'Draft_Import'!$D239,Q$1),"")</f>
        <v/>
      </c>
      <c r="S239">
        <f>IF(Draft_Import!$D239=S$1,COUNTIF(Draft_Import!$D$2:'Draft_Import'!$D239,S$1),"")</f>
        <v/>
      </c>
    </row>
    <row r="240">
      <c r="A240">
        <f>IF(Draft_Import!$D240=A$1,COUNTIF(Draft_Import!$D$2:'Draft_Import'!$D240,A$1),"")</f>
        <v/>
      </c>
      <c r="C240">
        <f>IF(Draft_Import!$D240=C$1,COUNTIF(Draft_Import!$D$2:'Draft_Import'!$D240,C$1),"")</f>
        <v/>
      </c>
      <c r="E240">
        <f>IF(Draft_Import!$D240=E$1,COUNTIF(Draft_Import!$D$2:'Draft_Import'!$D240,E$1),"")</f>
        <v/>
      </c>
      <c r="G240">
        <f>IF(Draft_Import!$D240=G$1,COUNTIF(Draft_Import!$D$2:'Draft_Import'!$D240,G$1),"")</f>
        <v/>
      </c>
      <c r="I240">
        <f>IF(Draft_Import!$D240=I$1,COUNTIF(Draft_Import!$D$2:'Draft_Import'!$D240,I$1),"")</f>
        <v/>
      </c>
      <c r="K240">
        <f>IF(Draft_Import!$D240=K$1,COUNTIF(Draft_Import!$D$2:'Draft_Import'!$D240,K$1),"")</f>
        <v/>
      </c>
      <c r="M240">
        <f>IF(Draft_Import!$D240=M$1,COUNTIF(Draft_Import!$D$2:'Draft_Import'!$D240,M$1),"")</f>
        <v/>
      </c>
      <c r="O240">
        <f>IF(Draft_Import!$D240=O$1,COUNTIF(Draft_Import!$D$2:'Draft_Import'!$D240,O$1),"")</f>
        <v/>
      </c>
      <c r="Q240">
        <f>IF(Draft_Import!$D240=Q$1,COUNTIF(Draft_Import!$D$2:'Draft_Import'!$D240,Q$1),"")</f>
        <v/>
      </c>
      <c r="S240">
        <f>IF(Draft_Import!$D240=S$1,COUNTIF(Draft_Import!$D$2:'Draft_Import'!$D240,S$1),"")</f>
        <v/>
      </c>
    </row>
    <row r="241">
      <c r="A241">
        <f>IF(Draft_Import!$D241=A$1,COUNTIF(Draft_Import!$D$2:'Draft_Import'!$D241,A$1),"")</f>
        <v/>
      </c>
      <c r="C241">
        <f>IF(Draft_Import!$D241=C$1,COUNTIF(Draft_Import!$D$2:'Draft_Import'!$D241,C$1),"")</f>
        <v/>
      </c>
      <c r="E241">
        <f>IF(Draft_Import!$D241=E$1,COUNTIF(Draft_Import!$D$2:'Draft_Import'!$D241,E$1),"")</f>
        <v/>
      </c>
      <c r="G241">
        <f>IF(Draft_Import!$D241=G$1,COUNTIF(Draft_Import!$D$2:'Draft_Import'!$D241,G$1),"")</f>
        <v/>
      </c>
      <c r="I241">
        <f>IF(Draft_Import!$D241=I$1,COUNTIF(Draft_Import!$D$2:'Draft_Import'!$D241,I$1),"")</f>
        <v/>
      </c>
      <c r="K241">
        <f>IF(Draft_Import!$D241=K$1,COUNTIF(Draft_Import!$D$2:'Draft_Import'!$D241,K$1),"")</f>
        <v/>
      </c>
      <c r="M241">
        <f>IF(Draft_Import!$D241=M$1,COUNTIF(Draft_Import!$D$2:'Draft_Import'!$D241,M$1),"")</f>
        <v/>
      </c>
      <c r="O241">
        <f>IF(Draft_Import!$D241=O$1,COUNTIF(Draft_Import!$D$2:'Draft_Import'!$D241,O$1),"")</f>
        <v/>
      </c>
      <c r="Q241">
        <f>IF(Draft_Import!$D241=Q$1,COUNTIF(Draft_Import!$D$2:'Draft_Import'!$D241,Q$1),"")</f>
        <v/>
      </c>
      <c r="S241">
        <f>IF(Draft_Import!$D241=S$1,COUNTIF(Draft_Import!$D$2:'Draft_Import'!$D241,S$1),"")</f>
        <v/>
      </c>
    </row>
    <row r="242">
      <c r="A242">
        <f>IF(Draft_Import!$D242=A$1,COUNTIF(Draft_Import!$D$2:'Draft_Import'!$D242,A$1),"")</f>
        <v/>
      </c>
      <c r="C242">
        <f>IF(Draft_Import!$D242=C$1,COUNTIF(Draft_Import!$D$2:'Draft_Import'!$D242,C$1),"")</f>
        <v/>
      </c>
      <c r="E242">
        <f>IF(Draft_Import!$D242=E$1,COUNTIF(Draft_Import!$D$2:'Draft_Import'!$D242,E$1),"")</f>
        <v/>
      </c>
      <c r="G242">
        <f>IF(Draft_Import!$D242=G$1,COUNTIF(Draft_Import!$D$2:'Draft_Import'!$D242,G$1),"")</f>
        <v/>
      </c>
      <c r="I242">
        <f>IF(Draft_Import!$D242=I$1,COUNTIF(Draft_Import!$D$2:'Draft_Import'!$D242,I$1),"")</f>
        <v/>
      </c>
      <c r="K242">
        <f>IF(Draft_Import!$D242=K$1,COUNTIF(Draft_Import!$D$2:'Draft_Import'!$D242,K$1),"")</f>
        <v/>
      </c>
      <c r="M242">
        <f>IF(Draft_Import!$D242=M$1,COUNTIF(Draft_Import!$D$2:'Draft_Import'!$D242,M$1),"")</f>
        <v/>
      </c>
      <c r="O242">
        <f>IF(Draft_Import!$D242=O$1,COUNTIF(Draft_Import!$D$2:'Draft_Import'!$D242,O$1),"")</f>
        <v/>
      </c>
      <c r="Q242">
        <f>IF(Draft_Import!$D242=Q$1,COUNTIF(Draft_Import!$D$2:'Draft_Import'!$D242,Q$1),"")</f>
        <v/>
      </c>
      <c r="S242">
        <f>IF(Draft_Import!$D242=S$1,COUNTIF(Draft_Import!$D$2:'Draft_Import'!$D242,S$1),"")</f>
        <v/>
      </c>
    </row>
    <row r="243">
      <c r="A243">
        <f>IF(Draft_Import!$D243=A$1,COUNTIF(Draft_Import!$D$2:'Draft_Import'!$D243,A$1),"")</f>
        <v/>
      </c>
      <c r="C243">
        <f>IF(Draft_Import!$D243=C$1,COUNTIF(Draft_Import!$D$2:'Draft_Import'!$D243,C$1),"")</f>
        <v/>
      </c>
      <c r="E243">
        <f>IF(Draft_Import!$D243=E$1,COUNTIF(Draft_Import!$D$2:'Draft_Import'!$D243,E$1),"")</f>
        <v/>
      </c>
      <c r="G243">
        <f>IF(Draft_Import!$D243=G$1,COUNTIF(Draft_Import!$D$2:'Draft_Import'!$D243,G$1),"")</f>
        <v/>
      </c>
      <c r="I243">
        <f>IF(Draft_Import!$D243=I$1,COUNTIF(Draft_Import!$D$2:'Draft_Import'!$D243,I$1),"")</f>
        <v/>
      </c>
      <c r="K243">
        <f>IF(Draft_Import!$D243=K$1,COUNTIF(Draft_Import!$D$2:'Draft_Import'!$D243,K$1),"")</f>
        <v/>
      </c>
      <c r="M243">
        <f>IF(Draft_Import!$D243=M$1,COUNTIF(Draft_Import!$D$2:'Draft_Import'!$D243,M$1),"")</f>
        <v/>
      </c>
      <c r="O243">
        <f>IF(Draft_Import!$D243=O$1,COUNTIF(Draft_Import!$D$2:'Draft_Import'!$D243,O$1),"")</f>
        <v/>
      </c>
      <c r="Q243">
        <f>IF(Draft_Import!$D243=Q$1,COUNTIF(Draft_Import!$D$2:'Draft_Import'!$D243,Q$1),"")</f>
        <v/>
      </c>
      <c r="S243">
        <f>IF(Draft_Import!$D243=S$1,COUNTIF(Draft_Import!$D$2:'Draft_Import'!$D243,S$1),"")</f>
        <v/>
      </c>
    </row>
    <row r="244">
      <c r="A244">
        <f>IF(Draft_Import!$D244=A$1,COUNTIF(Draft_Import!$D$2:'Draft_Import'!$D244,A$1),"")</f>
        <v/>
      </c>
      <c r="C244">
        <f>IF(Draft_Import!$D244=C$1,COUNTIF(Draft_Import!$D$2:'Draft_Import'!$D244,C$1),"")</f>
        <v/>
      </c>
      <c r="E244">
        <f>IF(Draft_Import!$D244=E$1,COUNTIF(Draft_Import!$D$2:'Draft_Import'!$D244,E$1),"")</f>
        <v/>
      </c>
      <c r="G244">
        <f>IF(Draft_Import!$D244=G$1,COUNTIF(Draft_Import!$D$2:'Draft_Import'!$D244,G$1),"")</f>
        <v/>
      </c>
      <c r="I244">
        <f>IF(Draft_Import!$D244=I$1,COUNTIF(Draft_Import!$D$2:'Draft_Import'!$D244,I$1),"")</f>
        <v/>
      </c>
      <c r="K244">
        <f>IF(Draft_Import!$D244=K$1,COUNTIF(Draft_Import!$D$2:'Draft_Import'!$D244,K$1),"")</f>
        <v/>
      </c>
      <c r="M244">
        <f>IF(Draft_Import!$D244=M$1,COUNTIF(Draft_Import!$D$2:'Draft_Import'!$D244,M$1),"")</f>
        <v/>
      </c>
      <c r="O244">
        <f>IF(Draft_Import!$D244=O$1,COUNTIF(Draft_Import!$D$2:'Draft_Import'!$D244,O$1),"")</f>
        <v/>
      </c>
      <c r="Q244">
        <f>IF(Draft_Import!$D244=Q$1,COUNTIF(Draft_Import!$D$2:'Draft_Import'!$D244,Q$1),"")</f>
        <v/>
      </c>
      <c r="S244">
        <f>IF(Draft_Import!$D244=S$1,COUNTIF(Draft_Import!$D$2:'Draft_Import'!$D244,S$1),"")</f>
        <v/>
      </c>
    </row>
    <row r="245">
      <c r="A245">
        <f>IF(Draft_Import!$D245=A$1,COUNTIF(Draft_Import!$D$2:'Draft_Import'!$D245,A$1),"")</f>
        <v/>
      </c>
      <c r="C245">
        <f>IF(Draft_Import!$D245=C$1,COUNTIF(Draft_Import!$D$2:'Draft_Import'!$D245,C$1),"")</f>
        <v/>
      </c>
      <c r="E245">
        <f>IF(Draft_Import!$D245=E$1,COUNTIF(Draft_Import!$D$2:'Draft_Import'!$D245,E$1),"")</f>
        <v/>
      </c>
      <c r="G245">
        <f>IF(Draft_Import!$D245=G$1,COUNTIF(Draft_Import!$D$2:'Draft_Import'!$D245,G$1),"")</f>
        <v/>
      </c>
      <c r="I245">
        <f>IF(Draft_Import!$D245=I$1,COUNTIF(Draft_Import!$D$2:'Draft_Import'!$D245,I$1),"")</f>
        <v/>
      </c>
      <c r="K245">
        <f>IF(Draft_Import!$D245=K$1,COUNTIF(Draft_Import!$D$2:'Draft_Import'!$D245,K$1),"")</f>
        <v/>
      </c>
      <c r="M245">
        <f>IF(Draft_Import!$D245=M$1,COUNTIF(Draft_Import!$D$2:'Draft_Import'!$D245,M$1),"")</f>
        <v/>
      </c>
      <c r="O245">
        <f>IF(Draft_Import!$D245=O$1,COUNTIF(Draft_Import!$D$2:'Draft_Import'!$D245,O$1),"")</f>
        <v/>
      </c>
      <c r="Q245">
        <f>IF(Draft_Import!$D245=Q$1,COUNTIF(Draft_Import!$D$2:'Draft_Import'!$D245,Q$1),"")</f>
        <v/>
      </c>
      <c r="S245">
        <f>IF(Draft_Import!$D245=S$1,COUNTIF(Draft_Import!$D$2:'Draft_Import'!$D245,S$1),"")</f>
        <v/>
      </c>
    </row>
    <row r="246">
      <c r="A246">
        <f>IF(Draft_Import!$D246=A$1,COUNTIF(Draft_Import!$D$2:'Draft_Import'!$D246,A$1),"")</f>
        <v/>
      </c>
      <c r="C246">
        <f>IF(Draft_Import!$D246=C$1,COUNTIF(Draft_Import!$D$2:'Draft_Import'!$D246,C$1),"")</f>
        <v/>
      </c>
      <c r="E246">
        <f>IF(Draft_Import!$D246=E$1,COUNTIF(Draft_Import!$D$2:'Draft_Import'!$D246,E$1),"")</f>
        <v/>
      </c>
      <c r="G246">
        <f>IF(Draft_Import!$D246=G$1,COUNTIF(Draft_Import!$D$2:'Draft_Import'!$D246,G$1),"")</f>
        <v/>
      </c>
      <c r="I246">
        <f>IF(Draft_Import!$D246=I$1,COUNTIF(Draft_Import!$D$2:'Draft_Import'!$D246,I$1),"")</f>
        <v/>
      </c>
      <c r="K246">
        <f>IF(Draft_Import!$D246=K$1,COUNTIF(Draft_Import!$D$2:'Draft_Import'!$D246,K$1),"")</f>
        <v/>
      </c>
      <c r="M246">
        <f>IF(Draft_Import!$D246=M$1,COUNTIF(Draft_Import!$D$2:'Draft_Import'!$D246,M$1),"")</f>
        <v/>
      </c>
      <c r="O246">
        <f>IF(Draft_Import!$D246=O$1,COUNTIF(Draft_Import!$D$2:'Draft_Import'!$D246,O$1),"")</f>
        <v/>
      </c>
      <c r="Q246">
        <f>IF(Draft_Import!$D246=Q$1,COUNTIF(Draft_Import!$D$2:'Draft_Import'!$D246,Q$1),"")</f>
        <v/>
      </c>
      <c r="S246">
        <f>IF(Draft_Import!$D246=S$1,COUNTIF(Draft_Import!$D$2:'Draft_Import'!$D246,S$1),"")</f>
        <v/>
      </c>
    </row>
    <row r="247">
      <c r="A247">
        <f>IF(Draft_Import!$D247=A$1,COUNTIF(Draft_Import!$D$2:'Draft_Import'!$D247,A$1),"")</f>
        <v/>
      </c>
      <c r="C247">
        <f>IF(Draft_Import!$D247=C$1,COUNTIF(Draft_Import!$D$2:'Draft_Import'!$D247,C$1),"")</f>
        <v/>
      </c>
      <c r="E247">
        <f>IF(Draft_Import!$D247=E$1,COUNTIF(Draft_Import!$D$2:'Draft_Import'!$D247,E$1),"")</f>
        <v/>
      </c>
      <c r="G247">
        <f>IF(Draft_Import!$D247=G$1,COUNTIF(Draft_Import!$D$2:'Draft_Import'!$D247,G$1),"")</f>
        <v/>
      </c>
      <c r="I247">
        <f>IF(Draft_Import!$D247=I$1,COUNTIF(Draft_Import!$D$2:'Draft_Import'!$D247,I$1),"")</f>
        <v/>
      </c>
      <c r="K247">
        <f>IF(Draft_Import!$D247=K$1,COUNTIF(Draft_Import!$D$2:'Draft_Import'!$D247,K$1),"")</f>
        <v/>
      </c>
      <c r="M247">
        <f>IF(Draft_Import!$D247=M$1,COUNTIF(Draft_Import!$D$2:'Draft_Import'!$D247,M$1),"")</f>
        <v/>
      </c>
      <c r="O247">
        <f>IF(Draft_Import!$D247=O$1,COUNTIF(Draft_Import!$D$2:'Draft_Import'!$D247,O$1),"")</f>
        <v/>
      </c>
      <c r="Q247">
        <f>IF(Draft_Import!$D247=Q$1,COUNTIF(Draft_Import!$D$2:'Draft_Import'!$D247,Q$1),"")</f>
        <v/>
      </c>
      <c r="S247">
        <f>IF(Draft_Import!$D247=S$1,COUNTIF(Draft_Import!$D$2:'Draft_Import'!$D247,S$1),"")</f>
        <v/>
      </c>
    </row>
    <row r="248">
      <c r="A248">
        <f>IF(Draft_Import!$D248=A$1,COUNTIF(Draft_Import!$D$2:'Draft_Import'!$D248,A$1),"")</f>
        <v/>
      </c>
      <c r="C248">
        <f>IF(Draft_Import!$D248=C$1,COUNTIF(Draft_Import!$D$2:'Draft_Import'!$D248,C$1),"")</f>
        <v/>
      </c>
      <c r="E248">
        <f>IF(Draft_Import!$D248=E$1,COUNTIF(Draft_Import!$D$2:'Draft_Import'!$D248,E$1),"")</f>
        <v/>
      </c>
      <c r="G248">
        <f>IF(Draft_Import!$D248=G$1,COUNTIF(Draft_Import!$D$2:'Draft_Import'!$D248,G$1),"")</f>
        <v/>
      </c>
      <c r="I248">
        <f>IF(Draft_Import!$D248=I$1,COUNTIF(Draft_Import!$D$2:'Draft_Import'!$D248,I$1),"")</f>
        <v/>
      </c>
      <c r="K248">
        <f>IF(Draft_Import!$D248=K$1,COUNTIF(Draft_Import!$D$2:'Draft_Import'!$D248,K$1),"")</f>
        <v/>
      </c>
      <c r="M248">
        <f>IF(Draft_Import!$D248=M$1,COUNTIF(Draft_Import!$D$2:'Draft_Import'!$D248,M$1),"")</f>
        <v/>
      </c>
      <c r="O248">
        <f>IF(Draft_Import!$D248=O$1,COUNTIF(Draft_Import!$D$2:'Draft_Import'!$D248,O$1),"")</f>
        <v/>
      </c>
      <c r="Q248">
        <f>IF(Draft_Import!$D248=Q$1,COUNTIF(Draft_Import!$D$2:'Draft_Import'!$D248,Q$1),"")</f>
        <v/>
      </c>
      <c r="S248">
        <f>IF(Draft_Import!$D248=S$1,COUNTIF(Draft_Import!$D$2:'Draft_Import'!$D248,S$1),"")</f>
        <v/>
      </c>
    </row>
    <row r="249">
      <c r="A249">
        <f>IF(Draft_Import!$D249=A$1,COUNTIF(Draft_Import!$D$2:'Draft_Import'!$D249,A$1),"")</f>
        <v/>
      </c>
      <c r="C249">
        <f>IF(Draft_Import!$D249=C$1,COUNTIF(Draft_Import!$D$2:'Draft_Import'!$D249,C$1),"")</f>
        <v/>
      </c>
      <c r="E249">
        <f>IF(Draft_Import!$D249=E$1,COUNTIF(Draft_Import!$D$2:'Draft_Import'!$D249,E$1),"")</f>
        <v/>
      </c>
      <c r="G249">
        <f>IF(Draft_Import!$D249=G$1,COUNTIF(Draft_Import!$D$2:'Draft_Import'!$D249,G$1),"")</f>
        <v/>
      </c>
      <c r="I249">
        <f>IF(Draft_Import!$D249=I$1,COUNTIF(Draft_Import!$D$2:'Draft_Import'!$D249,I$1),"")</f>
        <v/>
      </c>
      <c r="K249">
        <f>IF(Draft_Import!$D249=K$1,COUNTIF(Draft_Import!$D$2:'Draft_Import'!$D249,K$1),"")</f>
        <v/>
      </c>
      <c r="M249">
        <f>IF(Draft_Import!$D249=M$1,COUNTIF(Draft_Import!$D$2:'Draft_Import'!$D249,M$1),"")</f>
        <v/>
      </c>
      <c r="O249">
        <f>IF(Draft_Import!$D249=O$1,COUNTIF(Draft_Import!$D$2:'Draft_Import'!$D249,O$1),"")</f>
        <v/>
      </c>
      <c r="Q249">
        <f>IF(Draft_Import!$D249=Q$1,COUNTIF(Draft_Import!$D$2:'Draft_Import'!$D249,Q$1),"")</f>
        <v/>
      </c>
      <c r="S249">
        <f>IF(Draft_Import!$D249=S$1,COUNTIF(Draft_Import!$D$2:'Draft_Import'!$D249,S$1),"")</f>
        <v/>
      </c>
    </row>
    <row r="250">
      <c r="A250">
        <f>IF(Draft_Import!$D250=A$1,COUNTIF(Draft_Import!$D$2:'Draft_Import'!$D250,A$1),"")</f>
        <v/>
      </c>
      <c r="C250">
        <f>IF(Draft_Import!$D250=C$1,COUNTIF(Draft_Import!$D$2:'Draft_Import'!$D250,C$1),"")</f>
        <v/>
      </c>
      <c r="E250">
        <f>IF(Draft_Import!$D250=E$1,COUNTIF(Draft_Import!$D$2:'Draft_Import'!$D250,E$1),"")</f>
        <v/>
      </c>
      <c r="G250">
        <f>IF(Draft_Import!$D250=G$1,COUNTIF(Draft_Import!$D$2:'Draft_Import'!$D250,G$1),"")</f>
        <v/>
      </c>
      <c r="I250">
        <f>IF(Draft_Import!$D250=I$1,COUNTIF(Draft_Import!$D$2:'Draft_Import'!$D250,I$1),"")</f>
        <v/>
      </c>
      <c r="K250">
        <f>IF(Draft_Import!$D250=K$1,COUNTIF(Draft_Import!$D$2:'Draft_Import'!$D250,K$1),"")</f>
        <v/>
      </c>
      <c r="M250">
        <f>IF(Draft_Import!$D250=M$1,COUNTIF(Draft_Import!$D$2:'Draft_Import'!$D250,M$1),"")</f>
        <v/>
      </c>
      <c r="O250">
        <f>IF(Draft_Import!$D250=O$1,COUNTIF(Draft_Import!$D$2:'Draft_Import'!$D250,O$1),"")</f>
        <v/>
      </c>
      <c r="Q250">
        <f>IF(Draft_Import!$D250=Q$1,COUNTIF(Draft_Import!$D$2:'Draft_Import'!$D250,Q$1),"")</f>
        <v/>
      </c>
      <c r="S250">
        <f>IF(Draft_Import!$D250=S$1,COUNTIF(Draft_Import!$D$2:'Draft_Import'!$D250,S$1),"")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70AD47"/>
    <outlinePr summaryBelow="1" summaryRight="1"/>
    <pageSetUpPr/>
  </sheetPr>
  <dimension ref="A1:S28"/>
  <sheetViews>
    <sheetView showGridLines="0" tabSelected="1" zoomScale="80" zoomScaleNormal="80" workbookViewId="0">
      <selection activeCell="A31" sqref="A31"/>
    </sheetView>
  </sheetViews>
  <sheetFormatPr baseColWidth="8" defaultRowHeight="15"/>
  <cols>
    <col width="21.28515625" customWidth="1" style="28" min="1" max="1"/>
    <col width="11" customWidth="1" style="28" min="2" max="2"/>
    <col width="10" customWidth="1" style="28" min="3" max="3"/>
    <col width="14" customWidth="1" style="28" min="4" max="4"/>
    <col width="19.5703125" customWidth="1" style="28" min="5" max="5"/>
    <col width="11" customWidth="1" style="28" min="6" max="6"/>
    <col width="10" customWidth="1" style="28" min="7" max="7"/>
    <col width="14" customWidth="1" style="28" min="8" max="8"/>
    <col width="24.42578125" customWidth="1" style="28" min="9" max="9"/>
    <col width="11" customWidth="1" style="28" min="10" max="10"/>
    <col width="10" customWidth="1" style="28" min="11" max="11"/>
    <col width="14" customWidth="1" style="28" min="12" max="12"/>
    <col width="20.140625" customWidth="1" style="28" min="13" max="13"/>
    <col width="11" customWidth="1" style="28" min="14" max="14"/>
    <col width="10" customWidth="1" style="28" min="15" max="15"/>
    <col width="14" customWidth="1" style="28" min="16" max="16"/>
    <col width="19.42578125" customWidth="1" style="28" min="17" max="17"/>
    <col width="11" customWidth="1" style="28" min="18" max="18"/>
    <col width="10" customWidth="1" style="28" min="19" max="19"/>
  </cols>
  <sheetData>
    <row r="1">
      <c r="A1" s="29">
        <f>Draft_Helper!A1</f>
        <v/>
      </c>
      <c r="E1" s="29">
        <f>Draft_Helper!C1</f>
        <v/>
      </c>
      <c r="I1" s="29">
        <f>Draft_Helper!E1</f>
        <v/>
      </c>
      <c r="M1" s="29">
        <f>Draft_Helper!G1</f>
        <v/>
      </c>
      <c r="Q1" s="29">
        <f>Draft_Helper!I1</f>
        <v/>
      </c>
    </row>
    <row r="2">
      <c r="A2" s="9" t="inlineStr">
        <is>
          <t>Player</t>
        </is>
      </c>
      <c r="B2" s="9" t="inlineStr">
        <is>
          <t>Score</t>
        </is>
      </c>
      <c r="C2" s="9" t="inlineStr">
        <is>
          <t>Numeric</t>
        </is>
      </c>
      <c r="E2" s="9" t="inlineStr">
        <is>
          <t>Player</t>
        </is>
      </c>
      <c r="F2" s="9" t="inlineStr">
        <is>
          <t>Score</t>
        </is>
      </c>
      <c r="G2" s="9" t="inlineStr">
        <is>
          <t>Numeric</t>
        </is>
      </c>
      <c r="I2" s="9" t="inlineStr">
        <is>
          <t>Player</t>
        </is>
      </c>
      <c r="J2" s="9" t="inlineStr">
        <is>
          <t>Score</t>
        </is>
      </c>
      <c r="K2" s="9" t="inlineStr">
        <is>
          <t>Numeric</t>
        </is>
      </c>
      <c r="M2" s="9" t="inlineStr">
        <is>
          <t>Player</t>
        </is>
      </c>
      <c r="N2" s="9" t="inlineStr">
        <is>
          <t>Score</t>
        </is>
      </c>
      <c r="O2" s="9" t="inlineStr">
        <is>
          <t>Numeric</t>
        </is>
      </c>
      <c r="Q2" s="9" t="inlineStr">
        <is>
          <t>Player</t>
        </is>
      </c>
      <c r="R2" s="9" t="inlineStr">
        <is>
          <t>Score</t>
        </is>
      </c>
      <c r="S2" s="9" t="inlineStr">
        <is>
          <t>Numeric</t>
        </is>
      </c>
    </row>
    <row r="3">
      <c r="A3" s="10">
        <f>Draft_Helper!B2</f>
        <v/>
      </c>
      <c r="B3" s="11">
        <f>IFERROR(IF(OR(VLOOKUP(A3, Scores!$C$2:$D$459, 2, FALSE)="E", VLOOKUP(A3, Scores!$C$2:$D$459, 2, FALSE)=""), 0, VLOOKUP(A3, Scores!$C$2:$D$459, 2, FALSE)),0)</f>
        <v/>
      </c>
      <c r="C3" s="12">
        <f>IF(B3="","",IF(UPPER(TRIM(SUBSTITUTE(SUBSTITUTE(B3,"(",""),")","")))="E",0,VALUE(TRIM(SUBSTITUTE(SUBSTITUTE(B3,"(",""),")","")))))</f>
        <v/>
      </c>
      <c r="E3" s="10">
        <f>Draft_Helper!D2</f>
        <v/>
      </c>
      <c r="F3" s="11">
        <f>IFERROR(IF(OR(VLOOKUP(E3, Scores!$C$2:$D$459, 2, FALSE)="E", VLOOKUP(E3, Scores!$C$2:$D$459, 2, FALSE)=""), 0, VLOOKUP(E3, Scores!$C$2:$D$459, 2, FALSE)),0)</f>
        <v/>
      </c>
      <c r="G3" s="12">
        <f>IF(F3="","",IF(UPPER(TRIM(SUBSTITUTE(SUBSTITUTE(F3,"(",""),")","")))="E",0,VALUE(TRIM(SUBSTITUTE(SUBSTITUTE(F3,"(",""),")","")))))</f>
        <v/>
      </c>
      <c r="I3" s="10">
        <f>Draft_Helper!F2</f>
        <v/>
      </c>
      <c r="J3" s="11">
        <f>IFERROR(IF(OR(VLOOKUP(I3, Scores!$C$2:$D$459, 2, FALSE)="E", VLOOKUP(I3, Scores!$C$2:$D$459, 2, FALSE)=""), 0, VLOOKUP(I3, Scores!$C$2:$D$459, 2, FALSE)),0)</f>
        <v/>
      </c>
      <c r="K3" s="12">
        <f>IF(J3="","",IF(UPPER(TRIM(SUBSTITUTE(SUBSTITUTE(J3,"(",""),")","")))="E",0,VALUE(TRIM(SUBSTITUTE(SUBSTITUTE(J3,"(",""),")","")))))</f>
        <v/>
      </c>
      <c r="M3" s="10">
        <f>Draft_Helper!H2</f>
        <v/>
      </c>
      <c r="N3" s="11">
        <f>IFERROR(IF(OR(VLOOKUP(M3, Scores!$C$2:$D$459, 2, FALSE)="E", VLOOKUP(M3, Scores!$C$2:$D$459, 2, FALSE)=""), 0, VLOOKUP(M3, Scores!$C$2:$D$459, 2, FALSE)),0)</f>
        <v/>
      </c>
      <c r="O3" s="12">
        <f>IF(N3="","",IF(UPPER(TRIM(SUBSTITUTE(SUBSTITUTE(N3,"(",""),")","")))="E",0,VALUE(TRIM(SUBSTITUTE(SUBSTITUTE(N3,"(",""),")","")))))</f>
        <v/>
      </c>
      <c r="Q3" s="10">
        <f>Draft_Helper!J2</f>
        <v/>
      </c>
      <c r="R3" s="11">
        <f>IFERROR(IF(OR(VLOOKUP(Q3, Scores!$C$2:$D$459, 2, FALSE)="E", VLOOKUP(Q3, Scores!$C$2:$D$459, 2, FALSE)=""), 0, VLOOKUP(Q3, Scores!$C$2:$D$459, 2, FALSE)),0)</f>
        <v/>
      </c>
      <c r="S3" s="12">
        <f>IF(R3="","",IF(UPPER(TRIM(SUBSTITUTE(SUBSTITUTE(R3,"(",""),")","")))="E",0,VALUE(TRIM(SUBSTITUTE(SUBSTITUTE(R3,"(",""),")","")))))</f>
        <v/>
      </c>
    </row>
    <row r="4">
      <c r="A4" s="10">
        <f>Draft_Helper!B3</f>
        <v/>
      </c>
      <c r="B4" s="11">
        <f>IFERROR(IF(OR(VLOOKUP(A4, Scores!$C$2:$D$459, 2, FALSE)="E", VLOOKUP(A4, Scores!$C$2:$D$459, 2, FALSE)=""), 0, VLOOKUP(A4, Scores!$C$2:$D$459, 2, FALSE)),0)</f>
        <v/>
      </c>
      <c r="C4" s="12">
        <f>IF(B4="","",IF(UPPER(TRIM(SUBSTITUTE(SUBSTITUTE(B4,"(",""),")","")))="E",0,VALUE(TRIM(SUBSTITUTE(SUBSTITUTE(B4,"(",""),")","")))))</f>
        <v/>
      </c>
      <c r="E4" s="10">
        <f>Draft_Helper!D3</f>
        <v/>
      </c>
      <c r="F4" s="11">
        <f>IFERROR(IF(OR(VLOOKUP(E4, Scores!$C$2:$D$459, 2, FALSE)="E", VLOOKUP(E4, Scores!$C$2:$D$459, 2, FALSE)=""), 0, VLOOKUP(E4, Scores!$C$2:$D$459, 2, FALSE)),0)</f>
        <v/>
      </c>
      <c r="G4" s="12">
        <f>IF(F4="","",IF(UPPER(TRIM(SUBSTITUTE(SUBSTITUTE(F4,"(",""),")","")))="E",0,VALUE(TRIM(SUBSTITUTE(SUBSTITUTE(F4,"(",""),")","")))))</f>
        <v/>
      </c>
      <c r="I4" s="10">
        <f>Draft_Helper!F3</f>
        <v/>
      </c>
      <c r="J4" s="11">
        <f>IFERROR(IF(OR(VLOOKUP(I4, Scores!$C$2:$D$459, 2, FALSE)="E", VLOOKUP(I4, Scores!$C$2:$D$459, 2, FALSE)=""), 0, VLOOKUP(I4, Scores!$C$2:$D$459, 2, FALSE)),0)</f>
        <v/>
      </c>
      <c r="K4" s="12">
        <f>IF(J4="","",IF(UPPER(TRIM(SUBSTITUTE(SUBSTITUTE(J4,"(",""),")","")))="E",0,VALUE(TRIM(SUBSTITUTE(SUBSTITUTE(J4,"(",""),")","")))))</f>
        <v/>
      </c>
      <c r="M4" s="10">
        <f>Draft_Helper!H3</f>
        <v/>
      </c>
      <c r="N4" s="11">
        <f>IFERROR(IF(OR(VLOOKUP(M4, Scores!$C$2:$D$459, 2, FALSE)="E", VLOOKUP(M4, Scores!$C$2:$D$459, 2, FALSE)=""), 0, VLOOKUP(M4, Scores!$C$2:$D$459, 2, FALSE)),0)</f>
        <v/>
      </c>
      <c r="O4" s="12">
        <f>IF(N4="","",IF(UPPER(TRIM(SUBSTITUTE(SUBSTITUTE(N4,"(",""),")","")))="E",0,VALUE(TRIM(SUBSTITUTE(SUBSTITUTE(N4,"(",""),")","")))))</f>
        <v/>
      </c>
      <c r="Q4" s="10">
        <f>Draft_Helper!J3</f>
        <v/>
      </c>
      <c r="R4" s="11">
        <f>IFERROR(IF(OR(VLOOKUP(Q4, Scores!$C$2:$D$459, 2, FALSE)="E", VLOOKUP(Q4, Scores!$C$2:$D$459, 2, FALSE)=""), 0, VLOOKUP(Q4, Scores!$C$2:$D$459, 2, FALSE)),0)</f>
        <v/>
      </c>
      <c r="S4" s="12">
        <f>IF(R4="","",IF(UPPER(TRIM(SUBSTITUTE(SUBSTITUTE(R4,"(",""),")","")))="E",0,VALUE(TRIM(SUBSTITUTE(SUBSTITUTE(R4,"(",""),")","")))))</f>
        <v/>
      </c>
    </row>
    <row r="5">
      <c r="A5" s="10">
        <f>Draft_Helper!B4</f>
        <v/>
      </c>
      <c r="B5" s="11">
        <f>IFERROR(IF(OR(VLOOKUP(A5, Scores!$C$2:$D$459, 2, FALSE)="E", VLOOKUP(A5, Scores!$C$2:$D$459, 2, FALSE)=""), 0, VLOOKUP(A5, Scores!$C$2:$D$459, 2, FALSE)),0)</f>
        <v/>
      </c>
      <c r="C5" s="12">
        <f>IF(B5="","",IF(UPPER(TRIM(SUBSTITUTE(SUBSTITUTE(B5,"(",""),")","")))="E",0,VALUE(TRIM(SUBSTITUTE(SUBSTITUTE(B5,"(",""),")","")))))</f>
        <v/>
      </c>
      <c r="E5" s="10">
        <f>Draft_Helper!D4</f>
        <v/>
      </c>
      <c r="F5" s="11">
        <f>IFERROR(IF(OR(VLOOKUP(E5, Scores!$C$2:$D$459, 2, FALSE)="E", VLOOKUP(E5, Scores!$C$2:$D$459, 2, FALSE)=""), 0, VLOOKUP(E5, Scores!$C$2:$D$459, 2, FALSE)),0)</f>
        <v/>
      </c>
      <c r="G5" s="12">
        <f>IF(F5="","",IF(UPPER(TRIM(SUBSTITUTE(SUBSTITUTE(F5,"(",""),")","")))="E",0,VALUE(TRIM(SUBSTITUTE(SUBSTITUTE(F5,"(",""),")","")))))</f>
        <v/>
      </c>
      <c r="I5" s="10">
        <f>Draft_Helper!F4</f>
        <v/>
      </c>
      <c r="J5" s="11">
        <f>IFERROR(IF(OR(VLOOKUP(I5, Scores!$C$2:$D$459, 2, FALSE)="E", VLOOKUP(I5, Scores!$C$2:$D$459, 2, FALSE)=""), 0, VLOOKUP(I5, Scores!$C$2:$D$459, 2, FALSE)),0)</f>
        <v/>
      </c>
      <c r="K5" s="12">
        <f>IF(J5="","",IF(UPPER(TRIM(SUBSTITUTE(SUBSTITUTE(J5,"(",""),")","")))="E",0,VALUE(TRIM(SUBSTITUTE(SUBSTITUTE(J5,"(",""),")","")))))</f>
        <v/>
      </c>
      <c r="M5" s="10">
        <f>Draft_Helper!H4</f>
        <v/>
      </c>
      <c r="N5" s="11">
        <f>IFERROR(IF(OR(VLOOKUP(M5, Scores!$C$2:$D$459, 2, FALSE)="E", VLOOKUP(M5, Scores!$C$2:$D$459, 2, FALSE)=""), 0, VLOOKUP(M5, Scores!$C$2:$D$459, 2, FALSE)),0)</f>
        <v/>
      </c>
      <c r="O5" s="12">
        <f>IF(N5="","",IF(UPPER(TRIM(SUBSTITUTE(SUBSTITUTE(N5,"(",""),")","")))="E",0,VALUE(TRIM(SUBSTITUTE(SUBSTITUTE(N5,"(",""),")","")))))</f>
        <v/>
      </c>
      <c r="Q5" s="10">
        <f>Draft_Helper!J4</f>
        <v/>
      </c>
      <c r="R5" s="11">
        <f>IFERROR(IF(OR(VLOOKUP(Q5, Scores!$C$2:$D$459, 2, FALSE)="E", VLOOKUP(Q5, Scores!$C$2:$D$459, 2, FALSE)=""), 0, VLOOKUP(Q5, Scores!$C$2:$D$459, 2, FALSE)),0)</f>
        <v/>
      </c>
      <c r="S5" s="12">
        <f>IF(R5="","",IF(UPPER(TRIM(SUBSTITUTE(SUBSTITUTE(R5,"(",""),")","")))="E",0,VALUE(TRIM(SUBSTITUTE(SUBSTITUTE(R5,"(",""),")","")))))</f>
        <v/>
      </c>
    </row>
    <row r="6">
      <c r="A6" s="10">
        <f>Draft_Helper!B5</f>
        <v/>
      </c>
      <c r="B6" s="11">
        <f>IFERROR(IF(OR(VLOOKUP(A6, Scores!$C$2:$D$459, 2, FALSE)="E", VLOOKUP(A6, Scores!$C$2:$D$459, 2, FALSE)=""), 0, VLOOKUP(A6, Scores!$C$2:$D$459, 2, FALSE)),0)</f>
        <v/>
      </c>
      <c r="C6" s="12">
        <f>IF(B6="","",IF(UPPER(TRIM(SUBSTITUTE(SUBSTITUTE(B6,"(",""),")","")))="E",0,VALUE(TRIM(SUBSTITUTE(SUBSTITUTE(B6,"(",""),")","")))))</f>
        <v/>
      </c>
      <c r="E6" s="10">
        <f>Draft_Helper!D5</f>
        <v/>
      </c>
      <c r="F6" s="11">
        <f>IFERROR(IF(OR(VLOOKUP(E6, Scores!$C$2:$D$459, 2, FALSE)="E", VLOOKUP(E6, Scores!$C$2:$D$459, 2, FALSE)=""), 0, VLOOKUP(E6, Scores!$C$2:$D$459, 2, FALSE)),0)</f>
        <v/>
      </c>
      <c r="G6" s="12">
        <f>IF(F6="","",IF(UPPER(TRIM(SUBSTITUTE(SUBSTITUTE(F6,"(",""),")","")))="E",0,VALUE(TRIM(SUBSTITUTE(SUBSTITUTE(F6,"(",""),")","")))))</f>
        <v/>
      </c>
      <c r="I6" s="10">
        <f>Draft_Helper!F5</f>
        <v/>
      </c>
      <c r="J6" s="11">
        <f>IFERROR(IF(OR(VLOOKUP(I6, Scores!$C$2:$D$459, 2, FALSE)="E", VLOOKUP(I6, Scores!$C$2:$D$459, 2, FALSE)=""), 0, VLOOKUP(I6, Scores!$C$2:$D$459, 2, FALSE)),0)</f>
        <v/>
      </c>
      <c r="K6" s="12">
        <f>IF(J6="","",IF(UPPER(TRIM(SUBSTITUTE(SUBSTITUTE(J6,"(",""),")","")))="E",0,VALUE(TRIM(SUBSTITUTE(SUBSTITUTE(J6,"(",""),")","")))))</f>
        <v/>
      </c>
      <c r="M6" s="10">
        <f>Draft_Helper!H5</f>
        <v/>
      </c>
      <c r="N6" s="11">
        <f>IFERROR(IF(OR(VLOOKUP(M6, Scores!$C$2:$D$459, 2, FALSE)="E", VLOOKUP(M6, Scores!$C$2:$D$459, 2, FALSE)=""), 0, VLOOKUP(M6, Scores!$C$2:$D$459, 2, FALSE)),0)</f>
        <v/>
      </c>
      <c r="O6" s="12">
        <f>IF(N6="","",IF(UPPER(TRIM(SUBSTITUTE(SUBSTITUTE(N6,"(",""),")","")))="E",0,VALUE(TRIM(SUBSTITUTE(SUBSTITUTE(N6,"(",""),")","")))))</f>
        <v/>
      </c>
      <c r="Q6" s="10">
        <f>Draft_Helper!J5</f>
        <v/>
      </c>
      <c r="R6" s="11">
        <f>IFERROR(IF(OR(VLOOKUP(Q6, Scores!$C$2:$D$459, 2, FALSE)="E", VLOOKUP(Q6, Scores!$C$2:$D$459, 2, FALSE)=""), 0, VLOOKUP(Q6, Scores!$C$2:$D$459, 2, FALSE)),0)</f>
        <v/>
      </c>
      <c r="S6" s="12">
        <f>IF(R6="","",IF(UPPER(TRIM(SUBSTITUTE(SUBSTITUTE(R6,"(",""),")","")))="E",0,VALUE(TRIM(SUBSTITUTE(SUBSTITUTE(R6,"(",""),")","")))))</f>
        <v/>
      </c>
    </row>
    <row r="7">
      <c r="A7" s="10">
        <f>Draft_Helper!B6</f>
        <v/>
      </c>
      <c r="B7" s="11">
        <f>IFERROR(IF(OR(VLOOKUP(A7, Scores!$C$2:$D$459, 2, FALSE)="E", VLOOKUP(A7, Scores!$C$2:$D$459, 2, FALSE)=""), 0, VLOOKUP(A7, Scores!$C$2:$D$459, 2, FALSE)),0)</f>
        <v/>
      </c>
      <c r="C7" s="12">
        <f>IF(B7="","",IF(UPPER(TRIM(SUBSTITUTE(SUBSTITUTE(B7,"(",""),")","")))="E",0,VALUE(TRIM(SUBSTITUTE(SUBSTITUTE(B7,"(",""),")","")))))</f>
        <v/>
      </c>
      <c r="E7" s="10">
        <f>Draft_Helper!D6</f>
        <v/>
      </c>
      <c r="F7" s="11">
        <f>IFERROR(IF(OR(VLOOKUP(E7, Scores!$C$2:$D$459, 2, FALSE)="E", VLOOKUP(E7, Scores!$C$2:$D$459, 2, FALSE)=""), 0, VLOOKUP(E7, Scores!$C$2:$D$459, 2, FALSE)),0)</f>
        <v/>
      </c>
      <c r="G7" s="12">
        <f>IF(F7="","",IF(UPPER(TRIM(SUBSTITUTE(SUBSTITUTE(F7,"(",""),")","")))="E",0,VALUE(TRIM(SUBSTITUTE(SUBSTITUTE(F7,"(",""),")","")))))</f>
        <v/>
      </c>
      <c r="I7" s="10">
        <f>Draft_Helper!F6</f>
        <v/>
      </c>
      <c r="J7" s="11">
        <f>IFERROR(IF(OR(VLOOKUP(I7, Scores!$C$2:$D$459, 2, FALSE)="E", VLOOKUP(I7, Scores!$C$2:$D$459, 2, FALSE)=""), 0, VLOOKUP(I7, Scores!$C$2:$D$459, 2, FALSE)),0)</f>
        <v/>
      </c>
      <c r="K7" s="12">
        <f>IF(J7="","",IF(UPPER(TRIM(SUBSTITUTE(SUBSTITUTE(J7,"(",""),")","")))="E",0,VALUE(TRIM(SUBSTITUTE(SUBSTITUTE(J7,"(",""),")","")))))</f>
        <v/>
      </c>
      <c r="M7" s="10">
        <f>Draft_Helper!H6</f>
        <v/>
      </c>
      <c r="N7" s="11">
        <f>IFERROR(IF(OR(VLOOKUP(M7, Scores!$C$2:$D$459, 2, FALSE)="E", VLOOKUP(M7, Scores!$C$2:$D$459, 2, FALSE)=""), 0, VLOOKUP(M7, Scores!$C$2:$D$459, 2, FALSE)),0)</f>
        <v/>
      </c>
      <c r="O7" s="12">
        <f>IF(N7="","",IF(UPPER(TRIM(SUBSTITUTE(SUBSTITUTE(N7,"(",""),")","")))="E",0,VALUE(TRIM(SUBSTITUTE(SUBSTITUTE(N7,"(",""),")","")))))</f>
        <v/>
      </c>
      <c r="Q7" s="10">
        <f>Draft_Helper!J6</f>
        <v/>
      </c>
      <c r="R7" s="11">
        <f>IFERROR(IF(OR(VLOOKUP(Q7, Scores!$C$2:$D$459, 2, FALSE)="E", VLOOKUP(Q7, Scores!$C$2:$D$459, 2, FALSE)=""), 0, VLOOKUP(Q7, Scores!$C$2:$D$459, 2, FALSE)),0)</f>
        <v/>
      </c>
      <c r="S7" s="12">
        <f>IF(R7="","",IF(UPPER(TRIM(SUBSTITUTE(SUBSTITUTE(R7,"(",""),")","")))="E",0,VALUE(TRIM(SUBSTITUTE(SUBSTITUTE(R7,"(",""),")","")))))</f>
        <v/>
      </c>
    </row>
    <row r="8">
      <c r="A8" s="10">
        <f>Draft_Helper!B7</f>
        <v/>
      </c>
      <c r="B8" s="11">
        <f>IFERROR(IF(OR(VLOOKUP(A8, Scores!$C$2:$D$459, 2, FALSE)="E", VLOOKUP(A8, Scores!$C$2:$D$459, 2, FALSE)=""), 0, VLOOKUP(A8, Scores!$C$2:$D$459, 2, FALSE)),0)</f>
        <v/>
      </c>
      <c r="C8" s="12">
        <f>IF(B8="","",IF(UPPER(TRIM(SUBSTITUTE(SUBSTITUTE(B8,"(",""),")","")))="E",0,VALUE(TRIM(SUBSTITUTE(SUBSTITUTE(B8,"(",""),")","")))))</f>
        <v/>
      </c>
      <c r="E8" s="10">
        <f>Draft_Helper!D7</f>
        <v/>
      </c>
      <c r="F8" s="11">
        <f>IFERROR(IF(OR(VLOOKUP(E8, Scores!$C$2:$D$459, 2, FALSE)="E", VLOOKUP(E8, Scores!$C$2:$D$459, 2, FALSE)=""), 0, VLOOKUP(E8, Scores!$C$2:$D$459, 2, FALSE)),0)</f>
        <v/>
      </c>
      <c r="G8" s="12">
        <f>IF(F8="","",IF(UPPER(TRIM(SUBSTITUTE(SUBSTITUTE(F8,"(",""),")","")))="E",0,VALUE(TRIM(SUBSTITUTE(SUBSTITUTE(F8,"(",""),")","")))))</f>
        <v/>
      </c>
      <c r="I8" s="10">
        <f>Draft_Helper!F7</f>
        <v/>
      </c>
      <c r="J8" s="11">
        <f>IFERROR(IF(OR(VLOOKUP(I8, Scores!$C$2:$D$459, 2, FALSE)="E", VLOOKUP(I8, Scores!$C$2:$D$459, 2, FALSE)=""), 0, VLOOKUP(I8, Scores!$C$2:$D$459, 2, FALSE)),0)</f>
        <v/>
      </c>
      <c r="K8" s="12">
        <f>IF(J8="","",IF(UPPER(TRIM(SUBSTITUTE(SUBSTITUTE(J8,"(",""),")","")))="E",0,VALUE(TRIM(SUBSTITUTE(SUBSTITUTE(J8,"(",""),")","")))))</f>
        <v/>
      </c>
      <c r="M8" s="10">
        <f>Draft_Helper!H7</f>
        <v/>
      </c>
      <c r="N8" s="11">
        <f>IFERROR(IF(OR(VLOOKUP(M8, Scores!$C$2:$D$459, 2, FALSE)="E", VLOOKUP(M8, Scores!$C$2:$D$459, 2, FALSE)=""), 0, VLOOKUP(M8, Scores!$C$2:$D$459, 2, FALSE)),0)</f>
        <v/>
      </c>
      <c r="O8" s="12">
        <f>IF(N8="","",IF(UPPER(TRIM(SUBSTITUTE(SUBSTITUTE(N8,"(",""),")","")))="E",0,VALUE(TRIM(SUBSTITUTE(SUBSTITUTE(N8,"(",""),")","")))))</f>
        <v/>
      </c>
      <c r="Q8" s="10">
        <f>Draft_Helper!J7</f>
        <v/>
      </c>
      <c r="R8" s="11">
        <f>IFERROR(IF(OR(VLOOKUP(Q8, Scores!$C$2:$D$459, 2, FALSE)="E", VLOOKUP(Q8, Scores!$C$2:$D$459, 2, FALSE)=""), 0, VLOOKUP(Q8, Scores!$C$2:$D$459, 2, FALSE)),0)</f>
        <v/>
      </c>
      <c r="S8" s="12">
        <f>IF(R8="","",IF(UPPER(TRIM(SUBSTITUTE(SUBSTITUTE(R8,"(",""),")","")))="E",0,VALUE(TRIM(SUBSTITUTE(SUBSTITUTE(R8,"(",""),")","")))))</f>
        <v/>
      </c>
    </row>
    <row r="9">
      <c r="A9" s="10">
        <f>Draft_Helper!B8</f>
        <v/>
      </c>
      <c r="B9" s="11">
        <f>IFERROR(IF(OR(VLOOKUP(A9, Scores!$C$2:$D$459, 2, FALSE)="E", VLOOKUP(A9, Scores!$C$2:$D$459, 2, FALSE)=""), 0, VLOOKUP(A9, Scores!$C$2:$D$459, 2, FALSE)),0)</f>
        <v/>
      </c>
      <c r="C9" s="12">
        <f>IF(B9="","",IF(UPPER(TRIM(SUBSTITUTE(SUBSTITUTE(B9,"(",""),")","")))="E",0,VALUE(TRIM(SUBSTITUTE(SUBSTITUTE(B9,"(",""),")","")))))</f>
        <v/>
      </c>
      <c r="E9" s="10">
        <f>Draft_Helper!D8</f>
        <v/>
      </c>
      <c r="F9" s="11">
        <f>IFERROR(IF(OR(VLOOKUP(E9, Scores!$C$2:$D$459, 2, FALSE)="E", VLOOKUP(E9, Scores!$C$2:$D$459, 2, FALSE)=""), 0, VLOOKUP(E9, Scores!$C$2:$D$459, 2, FALSE)),0)</f>
        <v/>
      </c>
      <c r="G9" s="12">
        <f>IF(F9="","",IF(UPPER(TRIM(SUBSTITUTE(SUBSTITUTE(F9,"(",""),")","")))="E",0,VALUE(TRIM(SUBSTITUTE(SUBSTITUTE(F9,"(",""),")","")))))</f>
        <v/>
      </c>
      <c r="I9" s="10">
        <f>Draft_Helper!F8</f>
        <v/>
      </c>
      <c r="J9" s="11">
        <f>IFERROR(IF(OR(VLOOKUP(I9, Scores!$C$2:$D$459, 2, FALSE)="E", VLOOKUP(I9, Scores!$C$2:$D$459, 2, FALSE)=""), 0, VLOOKUP(I9, Scores!$C$2:$D$459, 2, FALSE)),0)</f>
        <v/>
      </c>
      <c r="K9" s="12">
        <f>IF(J9="","",IF(UPPER(TRIM(SUBSTITUTE(SUBSTITUTE(J9,"(",""),")","")))="E",0,VALUE(TRIM(SUBSTITUTE(SUBSTITUTE(J9,"(",""),")","")))))</f>
        <v/>
      </c>
      <c r="M9" s="10">
        <f>Draft_Helper!H8</f>
        <v/>
      </c>
      <c r="N9" s="11">
        <f>IFERROR(IF(OR(VLOOKUP(M9, Scores!$C$2:$D$459, 2, FALSE)="E", VLOOKUP(M9, Scores!$C$2:$D$459, 2, FALSE)=""), 0, VLOOKUP(M9, Scores!$C$2:$D$459, 2, FALSE)),0)</f>
        <v/>
      </c>
      <c r="O9" s="12">
        <f>IF(N9="","",IF(UPPER(TRIM(SUBSTITUTE(SUBSTITUTE(N9,"(",""),")","")))="E",0,VALUE(TRIM(SUBSTITUTE(SUBSTITUTE(N9,"(",""),")","")))))</f>
        <v/>
      </c>
      <c r="Q9" s="10">
        <f>Draft_Helper!J8</f>
        <v/>
      </c>
      <c r="R9" s="11">
        <f>IFERROR(IF(OR(VLOOKUP(Q9, Scores!$C$2:$D$459, 2, FALSE)="E", VLOOKUP(Q9, Scores!$C$2:$D$459, 2, FALSE)=""), 0, VLOOKUP(Q9, Scores!$C$2:$D$459, 2, FALSE)),0)</f>
        <v/>
      </c>
      <c r="S9" s="12">
        <f>IF(R9="","",IF(UPPER(TRIM(SUBSTITUTE(SUBSTITUTE(R9,"(",""),")","")))="E",0,VALUE(TRIM(SUBSTITUTE(SUBSTITUTE(R9,"(",""),")","")))))</f>
        <v/>
      </c>
    </row>
    <row r="10">
      <c r="A10" s="10">
        <f>Draft_Helper!B9</f>
        <v/>
      </c>
      <c r="B10" s="11">
        <f>IFERROR(IF(OR(VLOOKUP(A10, Scores!$C$2:$D$459, 2, FALSE)="E", VLOOKUP(A10, Scores!$C$2:$D$459, 2, FALSE)=""), 0, VLOOKUP(A10, Scores!$C$2:$D$459, 2, FALSE)),0)</f>
        <v/>
      </c>
      <c r="C10" s="12">
        <f>IF(B10="","",IF(UPPER(TRIM(SUBSTITUTE(SUBSTITUTE(B10,"(",""),")","")))="E",0,VALUE(TRIM(SUBSTITUTE(SUBSTITUTE(B10,"(",""),")","")))))</f>
        <v/>
      </c>
      <c r="E10" s="10">
        <f>Draft_Helper!D9</f>
        <v/>
      </c>
      <c r="F10" s="11">
        <f>IFERROR(IF(OR(VLOOKUP(E10, Scores!$C$2:$D$459, 2, FALSE)="E", VLOOKUP(E10, Scores!$C$2:$D$459, 2, FALSE)=""), 0, VLOOKUP(E10, Scores!$C$2:$D$459, 2, FALSE)),0)</f>
        <v/>
      </c>
      <c r="G10" s="12">
        <f>IF(F10="","",IF(UPPER(TRIM(SUBSTITUTE(SUBSTITUTE(F10,"(",""),")","")))="E",0,VALUE(TRIM(SUBSTITUTE(SUBSTITUTE(F10,"(",""),")","")))))</f>
        <v/>
      </c>
      <c r="I10" s="10">
        <f>Draft_Helper!F9</f>
        <v/>
      </c>
      <c r="J10" s="11">
        <f>IFERROR(IF(OR(VLOOKUP(I10, Scores!$C$2:$D$459, 2, FALSE)="E", VLOOKUP(I10, Scores!$C$2:$D$459, 2, FALSE)=""), 0, VLOOKUP(I10, Scores!$C$2:$D$459, 2, FALSE)),0)</f>
        <v/>
      </c>
      <c r="K10" s="12">
        <f>IF(J10="","",IF(UPPER(TRIM(SUBSTITUTE(SUBSTITUTE(J10,"(",""),")","")))="E",0,VALUE(TRIM(SUBSTITUTE(SUBSTITUTE(J10,"(",""),")","")))))</f>
        <v/>
      </c>
      <c r="M10" s="10">
        <f>Draft_Helper!H9</f>
        <v/>
      </c>
      <c r="N10" s="11">
        <f>IFERROR(IF(OR(VLOOKUP(M10, Scores!$C$2:$D$459, 2, FALSE)="E", VLOOKUP(M10, Scores!$C$2:$D$459, 2, FALSE)=""), 0, VLOOKUP(M10, Scores!$C$2:$D$459, 2, FALSE)),0)</f>
        <v/>
      </c>
      <c r="O10" s="12">
        <f>IF(N10="","",IF(UPPER(TRIM(SUBSTITUTE(SUBSTITUTE(N10,"(",""),")","")))="E",0,VALUE(TRIM(SUBSTITUTE(SUBSTITUTE(N10,"(",""),")","")))))</f>
        <v/>
      </c>
      <c r="Q10" s="10">
        <f>Draft_Helper!J9</f>
        <v/>
      </c>
      <c r="R10" s="11">
        <f>IFERROR(IF(OR(VLOOKUP(Q10, Scores!$C$2:$D$459, 2, FALSE)="E", VLOOKUP(Q10, Scores!$C$2:$D$459, 2, FALSE)=""), 0, VLOOKUP(Q10, Scores!$C$2:$D$459, 2, FALSE)),0)</f>
        <v/>
      </c>
      <c r="S10" s="12">
        <f>IF(R10="","",IF(UPPER(TRIM(SUBSTITUTE(SUBSTITUTE(R10,"(",""),")","")))="E",0,VALUE(TRIM(SUBSTITUTE(SUBSTITUTE(R10,"(",""),")","")))))</f>
        <v/>
      </c>
    </row>
    <row r="11">
      <c r="A11" s="10">
        <f>Draft_Helper!B10</f>
        <v/>
      </c>
      <c r="B11" s="11">
        <f>IFERROR(IF(OR(VLOOKUP(A11, Scores!$C$2:$D$459, 2, FALSE)="E", VLOOKUP(A11, Scores!$C$2:$D$459, 2, FALSE)=""), 0, VLOOKUP(A11, Scores!$C$2:$D$459, 2, FALSE)),0)</f>
        <v/>
      </c>
      <c r="C11" s="12">
        <f>IF(B11="","",IF(UPPER(TRIM(SUBSTITUTE(SUBSTITUTE(B11,"(",""),")","")))="E",0,VALUE(TRIM(SUBSTITUTE(SUBSTITUTE(B11,"(",""),")","")))))</f>
        <v/>
      </c>
      <c r="E11" s="10">
        <f>Draft_Helper!D10</f>
        <v/>
      </c>
      <c r="F11" s="11">
        <f>IFERROR(IF(OR(VLOOKUP(E11, Scores!$C$2:$D$459, 2, FALSE)="E", VLOOKUP(E11, Scores!$C$2:$D$459, 2, FALSE)=""), 0, VLOOKUP(E11, Scores!$C$2:$D$459, 2, FALSE)),0)</f>
        <v/>
      </c>
      <c r="G11" s="12">
        <f>IF(F11="","",IF(UPPER(TRIM(SUBSTITUTE(SUBSTITUTE(F11,"(",""),")","")))="E",0,VALUE(TRIM(SUBSTITUTE(SUBSTITUTE(F11,"(",""),")","")))))</f>
        <v/>
      </c>
      <c r="I11" s="10">
        <f>Draft_Helper!F10</f>
        <v/>
      </c>
      <c r="J11" s="11">
        <f>IFERROR(IF(OR(VLOOKUP(I11, Scores!$C$2:$D$459, 2, FALSE)="E", VLOOKUP(I11, Scores!$C$2:$D$459, 2, FALSE)=""), 0, VLOOKUP(I11, Scores!$C$2:$D$459, 2, FALSE)),0)</f>
        <v/>
      </c>
      <c r="K11" s="12">
        <f>IF(J11="","",IF(UPPER(TRIM(SUBSTITUTE(SUBSTITUTE(J11,"(",""),")","")))="E",0,VALUE(TRIM(SUBSTITUTE(SUBSTITUTE(J11,"(",""),")","")))))</f>
        <v/>
      </c>
      <c r="M11" s="10">
        <f>Draft_Helper!H10</f>
        <v/>
      </c>
      <c r="N11" s="11">
        <f>IFERROR(IF(OR(VLOOKUP(M11, Scores!$C$2:$D$459, 2, FALSE)="E", VLOOKUP(M11, Scores!$C$2:$D$459, 2, FALSE)=""), 0, VLOOKUP(M11, Scores!$C$2:$D$459, 2, FALSE)),0)</f>
        <v/>
      </c>
      <c r="O11" s="12">
        <f>IF(N11="","",IF(UPPER(TRIM(SUBSTITUTE(SUBSTITUTE(N11,"(",""),")","")))="E",0,VALUE(TRIM(SUBSTITUTE(SUBSTITUTE(N11,"(",""),")","")))))</f>
        <v/>
      </c>
      <c r="Q11" s="10">
        <f>Draft_Helper!J10</f>
        <v/>
      </c>
      <c r="R11" s="11">
        <f>IFERROR(IF(OR(VLOOKUP(Q11, Scores!$C$2:$D$459, 2, FALSE)="E", VLOOKUP(Q11, Scores!$C$2:$D$459, 2, FALSE)=""), 0, VLOOKUP(Q11, Scores!$C$2:$D$459, 2, FALSE)),0)</f>
        <v/>
      </c>
      <c r="S11" s="12">
        <f>IF(R11="","",IF(UPPER(TRIM(SUBSTITUTE(SUBSTITUTE(R11,"(",""),")","")))="E",0,VALUE(TRIM(SUBSTITUTE(SUBSTITUTE(R11,"(",""),")","")))))</f>
        <v/>
      </c>
    </row>
    <row r="12">
      <c r="A12" s="10">
        <f>Draft_Helper!B11</f>
        <v/>
      </c>
      <c r="B12" s="11" t="n"/>
      <c r="C12" s="12">
        <f>IF(B12="","",IF(UPPER(TRIM(SUBSTITUTE(SUBSTITUTE(B12,"(",""),")","")))="E",0,VALUE(TRIM(SUBSTITUTE(SUBSTITUTE(B12,"(",""),")","")))))</f>
        <v/>
      </c>
      <c r="E12" s="10">
        <f>Draft_Helper!D11</f>
        <v/>
      </c>
      <c r="F12" s="11" t="n"/>
      <c r="G12" s="12">
        <f>IF(F12="","",IF(UPPER(TRIM(SUBSTITUTE(SUBSTITUTE(F12,"(",""),")","")))="E",0,VALUE(TRIM(SUBSTITUTE(SUBSTITUTE(F12,"(",""),")","")))))</f>
        <v/>
      </c>
      <c r="I12" s="10">
        <f>Draft_Helper!F11</f>
        <v/>
      </c>
      <c r="J12" s="11" t="n"/>
      <c r="K12" s="12">
        <f>IF(J12="","",IF(UPPER(TRIM(SUBSTITUTE(SUBSTITUTE(J12,"(",""),")","")))="E",0,VALUE(TRIM(SUBSTITUTE(SUBSTITUTE(J12,"(",""),")","")))))</f>
        <v/>
      </c>
      <c r="M12" s="10">
        <f>Draft_Helper!H11</f>
        <v/>
      </c>
      <c r="N12" s="11" t="n"/>
      <c r="O12" s="12">
        <f>IF(N12="","",IF(UPPER(TRIM(SUBSTITUTE(SUBSTITUTE(N12,"(",""),")","")))="E",0,VALUE(TRIM(SUBSTITUTE(SUBSTITUTE(N12,"(",""),")","")))))</f>
        <v/>
      </c>
      <c r="Q12" s="10">
        <f>Draft_Helper!J11</f>
        <v/>
      </c>
      <c r="R12" s="11" t="n"/>
      <c r="S12" s="12">
        <f>IF(R12="","",IF(UPPER(TRIM(SUBSTITUTE(SUBSTITUTE(R12,"(",""),")","")))="E",0,VALUE(TRIM(SUBSTITUTE(SUBSTITUTE(R12,"(",""),")","")))))</f>
        <v/>
      </c>
    </row>
    <row r="13">
      <c r="A13" s="27" t="inlineStr">
        <is>
          <t>Best 3 Total</t>
        </is>
      </c>
      <c r="C13" s="13">
        <f>IF(COUNT(C3:C12)=0,"",SUM(IFERROR(SMALL(C3:C12,1),0),IFERROR(SMALL(C3:C12,2),0),IFERROR(SMALL(C3:C12,3),0)))</f>
        <v/>
      </c>
      <c r="E13" s="27" t="inlineStr">
        <is>
          <t>Best 3 Total</t>
        </is>
      </c>
      <c r="G13" s="13">
        <f>IF(COUNT(G3:G12)=0,"",SUM(IFERROR(SMALL(G3:G12,1),0),IFERROR(SMALL(G3:G12,2),0),IFERROR(SMALL(G3:G12,3),0)))</f>
        <v/>
      </c>
      <c r="I13" s="27" t="inlineStr">
        <is>
          <t>Best 3 Total</t>
        </is>
      </c>
      <c r="K13" s="13">
        <f>IF(COUNT(K3:K12)=0,"",SUM(IFERROR(SMALL(K3:K12,1),0),IFERROR(SMALL(K3:K12,2),0),IFERROR(SMALL(K3:K12,3),0)))</f>
        <v/>
      </c>
      <c r="M13" s="27" t="inlineStr">
        <is>
          <t>Best 3 Total</t>
        </is>
      </c>
      <c r="O13" s="13">
        <f>IF(COUNT(O3:O12)=0,"",SUM(IFERROR(SMALL(O3:O12,1),0),IFERROR(SMALL(O3:O12,2),0),IFERROR(SMALL(O3:O12,3),0)))</f>
        <v/>
      </c>
      <c r="Q13" s="27" t="inlineStr">
        <is>
          <t>Best 3 Total</t>
        </is>
      </c>
      <c r="S13" s="13">
        <f>IF(COUNT(S3:S12)=0,"",SUM(IFERROR(SMALL(S3:S12,1),0),IFERROR(SMALL(S3:S12,2),0),IFERROR(SMALL(S3:S12,3),0)))</f>
        <v/>
      </c>
    </row>
    <row r="16">
      <c r="A16" s="29">
        <f>Draft_Helper!K1</f>
        <v/>
      </c>
      <c r="E16" s="29">
        <f>Draft_Helper!M1</f>
        <v/>
      </c>
      <c r="I16" s="29">
        <f>Draft_Helper!O1</f>
        <v/>
      </c>
      <c r="M16" s="29">
        <f>Draft_Helper!Q1</f>
        <v/>
      </c>
      <c r="Q16" s="29">
        <f>Draft_Helper!S1</f>
        <v/>
      </c>
    </row>
    <row r="17">
      <c r="A17" s="9" t="inlineStr">
        <is>
          <t>Player</t>
        </is>
      </c>
      <c r="B17" s="9" t="inlineStr">
        <is>
          <t>Score</t>
        </is>
      </c>
      <c r="C17" s="9" t="inlineStr">
        <is>
          <t>Numeric</t>
        </is>
      </c>
      <c r="E17" s="9" t="inlineStr">
        <is>
          <t>Player</t>
        </is>
      </c>
      <c r="F17" s="9" t="inlineStr">
        <is>
          <t>Score</t>
        </is>
      </c>
      <c r="G17" s="9" t="inlineStr">
        <is>
          <t>Numeric</t>
        </is>
      </c>
      <c r="I17" s="9" t="inlineStr">
        <is>
          <t>Player</t>
        </is>
      </c>
      <c r="J17" s="9" t="inlineStr">
        <is>
          <t>Score</t>
        </is>
      </c>
      <c r="K17" s="9" t="inlineStr">
        <is>
          <t>Numeric</t>
        </is>
      </c>
      <c r="M17" s="9" t="inlineStr">
        <is>
          <t>Player</t>
        </is>
      </c>
      <c r="N17" s="9" t="inlineStr">
        <is>
          <t>Score</t>
        </is>
      </c>
      <c r="O17" s="9" t="inlineStr">
        <is>
          <t>Numeric</t>
        </is>
      </c>
      <c r="Q17" s="9" t="inlineStr">
        <is>
          <t>Player</t>
        </is>
      </c>
      <c r="R17" s="9" t="inlineStr">
        <is>
          <t>Score</t>
        </is>
      </c>
      <c r="S17" s="9" t="inlineStr">
        <is>
          <t>Numeric</t>
        </is>
      </c>
    </row>
    <row r="18">
      <c r="A18" s="10">
        <f>Draft_Helper!L2</f>
        <v/>
      </c>
      <c r="B18" s="11">
        <f>IFERROR(IF(OR(VLOOKUP(A18, Scores!$C$2:$D$459, 2, FALSE)="E", VLOOKUP(A18, Scores!$C$2:$D$459, 2, FALSE)=""), 0, VLOOKUP(A18, Scores!$C$2:$D$459, 2, FALSE)),0)</f>
        <v/>
      </c>
      <c r="C18" s="12">
        <f>IF(B18="","",IF(UPPER(TRIM(SUBSTITUTE(SUBSTITUTE(B18,"(",""),")","")))="E",0,VALUE(TRIM(SUBSTITUTE(SUBSTITUTE(B18,"(",""),")","")))))</f>
        <v/>
      </c>
      <c r="E18" s="10">
        <f>Draft_Helper!N2</f>
        <v/>
      </c>
      <c r="F18" s="11">
        <f>IFERROR(IF(OR(VLOOKUP(E18, Scores!$C$2:$D$459, 2, FALSE)="E", VLOOKUP(E18, Scores!$C$2:$D$459, 2, FALSE)=""), 0, VLOOKUP(E18, Scores!$C$2:$D$459, 2, FALSE)),0)</f>
        <v/>
      </c>
      <c r="G18" s="12">
        <f>IF(F18="","",IF(UPPER(TRIM(SUBSTITUTE(SUBSTITUTE(F18,"(",""),")","")))="E",0,VALUE(TRIM(SUBSTITUTE(SUBSTITUTE(F18,"(",""),")","")))))</f>
        <v/>
      </c>
      <c r="I18" s="10">
        <f>Draft_Helper!P2</f>
        <v/>
      </c>
      <c r="J18" s="11">
        <f>IFERROR(IF(OR(VLOOKUP(I18, Scores!$C$2:$D$459, 2, FALSE)="E", VLOOKUP(I18, Scores!$C$2:$D$459, 2, FALSE)=""), 0, VLOOKUP(I18, Scores!$C$2:$D$459, 2, FALSE)),0)</f>
        <v/>
      </c>
      <c r="K18" s="12">
        <f>IF(J18="","",IF(UPPER(TRIM(SUBSTITUTE(SUBSTITUTE(J18,"(",""),")","")))="E",0,VALUE(TRIM(SUBSTITUTE(SUBSTITUTE(J18,"(",""),")","")))))</f>
        <v/>
      </c>
      <c r="M18" s="10">
        <f>Draft_Helper!R2</f>
        <v/>
      </c>
      <c r="N18" s="11">
        <f>IFERROR(IF(OR(VLOOKUP(M18, Scores!$C$2:$D$459, 2, FALSE)="E", VLOOKUP(M18, Scores!$C$2:$D$459, 2, FALSE)=""), 0, VLOOKUP(M18, Scores!$C$2:$D$459, 2, FALSE)),0)</f>
        <v/>
      </c>
      <c r="O18" s="12">
        <f>IF(N18="","",IF(UPPER(TRIM(SUBSTITUTE(SUBSTITUTE(N18,"(",""),")","")))="E",0,VALUE(TRIM(SUBSTITUTE(SUBSTITUTE(N18,"(",""),")","")))))</f>
        <v/>
      </c>
      <c r="Q18" s="10">
        <f>Draft_Helper!T2</f>
        <v/>
      </c>
      <c r="R18" s="11">
        <f>IFERROR(IF(OR(VLOOKUP(Q18, Scores!$C$2:$D$459, 2, FALSE)="E", VLOOKUP(Q18, Scores!$C$2:$D$459, 2, FALSE)=""), 0, VLOOKUP(Q18, Scores!$C$2:$D$459, 2, FALSE)),0)</f>
        <v/>
      </c>
      <c r="S18" s="12">
        <f>IF(R18="","",IF(UPPER(TRIM(SUBSTITUTE(SUBSTITUTE(R18,"(",""),")","")))="E",0,VALUE(TRIM(SUBSTITUTE(SUBSTITUTE(R18,"(",""),")","")))))</f>
        <v/>
      </c>
    </row>
    <row r="19">
      <c r="A19" s="10">
        <f>Draft_Helper!L3</f>
        <v/>
      </c>
      <c r="B19" s="11">
        <f>IFERROR(IF(OR(VLOOKUP(A19, Scores!$C$2:$D$459, 2, FALSE)="E", VLOOKUP(A19, Scores!$C$2:$D$459, 2, FALSE)=""), 0, VLOOKUP(A19, Scores!$C$2:$D$459, 2, FALSE)),0)</f>
        <v/>
      </c>
      <c r="C19" s="12">
        <f>IF(B19="","",IF(UPPER(TRIM(SUBSTITUTE(SUBSTITUTE(B19,"(",""),")","")))="E",0,VALUE(TRIM(SUBSTITUTE(SUBSTITUTE(B19,"(",""),")","")))))</f>
        <v/>
      </c>
      <c r="E19" s="10">
        <f>Draft_Helper!N3</f>
        <v/>
      </c>
      <c r="F19" s="11">
        <f>IFERROR(IF(OR(VLOOKUP(E19, Scores!$C$2:$D$459, 2, FALSE)="E", VLOOKUP(E19, Scores!$C$2:$D$459, 2, FALSE)=""), 0, VLOOKUP(E19, Scores!$C$2:$D$459, 2, FALSE)),0)</f>
        <v/>
      </c>
      <c r="G19" s="12">
        <f>IF(F19="","",IF(UPPER(TRIM(SUBSTITUTE(SUBSTITUTE(F19,"(",""),")","")))="E",0,VALUE(TRIM(SUBSTITUTE(SUBSTITUTE(F19,"(",""),")","")))))</f>
        <v/>
      </c>
      <c r="I19" s="10">
        <f>Draft_Helper!P3</f>
        <v/>
      </c>
      <c r="J19" s="11">
        <f>IFERROR(IF(OR(VLOOKUP(I19, Scores!$C$2:$D$459, 2, FALSE)="E", VLOOKUP(I19, Scores!$C$2:$D$459, 2, FALSE)=""), 0, VLOOKUP(I19, Scores!$C$2:$D$459, 2, FALSE)),0)</f>
        <v/>
      </c>
      <c r="K19" s="12">
        <f>IF(J19="","",IF(UPPER(TRIM(SUBSTITUTE(SUBSTITUTE(J19,"(",""),")","")))="E",0,VALUE(TRIM(SUBSTITUTE(SUBSTITUTE(J19,"(",""),")","")))))</f>
        <v/>
      </c>
      <c r="M19" s="10">
        <f>Draft_Helper!R3</f>
        <v/>
      </c>
      <c r="N19" s="11">
        <f>IFERROR(IF(OR(VLOOKUP(M19, Scores!$C$2:$D$459, 2, FALSE)="E", VLOOKUP(M19, Scores!$C$2:$D$459, 2, FALSE)=""), 0, VLOOKUP(M19, Scores!$C$2:$D$459, 2, FALSE)),0)</f>
        <v/>
      </c>
      <c r="O19" s="12">
        <f>IF(N19="","",IF(UPPER(TRIM(SUBSTITUTE(SUBSTITUTE(N19,"(",""),")","")))="E",0,VALUE(TRIM(SUBSTITUTE(SUBSTITUTE(N19,"(",""),")","")))))</f>
        <v/>
      </c>
      <c r="Q19" s="10">
        <f>Draft_Helper!T3</f>
        <v/>
      </c>
      <c r="R19" s="11">
        <f>IFERROR(IF(OR(VLOOKUP(Q19, Scores!$C$2:$D$459, 2, FALSE)="E", VLOOKUP(Q19, Scores!$C$2:$D$459, 2, FALSE)=""), 0, VLOOKUP(Q19, Scores!$C$2:$D$459, 2, FALSE)),0)</f>
        <v/>
      </c>
      <c r="S19" s="12">
        <f>IF(R19="","",IF(UPPER(TRIM(SUBSTITUTE(SUBSTITUTE(R19,"(",""),")","")))="E",0,VALUE(TRIM(SUBSTITUTE(SUBSTITUTE(R19,"(",""),")","")))))</f>
        <v/>
      </c>
    </row>
    <row r="20">
      <c r="A20" s="10">
        <f>Draft_Helper!L4</f>
        <v/>
      </c>
      <c r="B20" s="11">
        <f>IFERROR(IF(OR(VLOOKUP(A20, Scores!$C$2:$D$459, 2, FALSE)="E", VLOOKUP(A20, Scores!$C$2:$D$459, 2, FALSE)=""), 0, VLOOKUP(A20, Scores!$C$2:$D$459, 2, FALSE)),0)</f>
        <v/>
      </c>
      <c r="C20" s="12">
        <f>IF(B20="","",IF(UPPER(TRIM(SUBSTITUTE(SUBSTITUTE(B20,"(",""),")","")))="E",0,VALUE(TRIM(SUBSTITUTE(SUBSTITUTE(B20,"(",""),")","")))))</f>
        <v/>
      </c>
      <c r="E20" s="10">
        <f>Draft_Helper!N4</f>
        <v/>
      </c>
      <c r="F20" s="11">
        <f>IFERROR(IF(OR(VLOOKUP(E20, Scores!$C$2:$D$459, 2, FALSE)="E", VLOOKUP(E20, Scores!$C$2:$D$459, 2, FALSE)=""), 0, VLOOKUP(E20, Scores!$C$2:$D$459, 2, FALSE)),0)</f>
        <v/>
      </c>
      <c r="G20" s="12">
        <f>IF(F20="","",IF(UPPER(TRIM(SUBSTITUTE(SUBSTITUTE(F20,"(",""),")","")))="E",0,VALUE(TRIM(SUBSTITUTE(SUBSTITUTE(F20,"(",""),")","")))))</f>
        <v/>
      </c>
      <c r="I20" s="10">
        <f>Draft_Helper!P4</f>
        <v/>
      </c>
      <c r="J20" s="11">
        <f>IFERROR(IF(OR(VLOOKUP(I20, Scores!$C$2:$D$459, 2, FALSE)="E", VLOOKUP(I20, Scores!$C$2:$D$459, 2, FALSE)=""), 0, VLOOKUP(I20, Scores!$C$2:$D$459, 2, FALSE)),0)</f>
        <v/>
      </c>
      <c r="K20" s="12">
        <f>IF(J20="","",IF(UPPER(TRIM(SUBSTITUTE(SUBSTITUTE(J20,"(",""),")","")))="E",0,VALUE(TRIM(SUBSTITUTE(SUBSTITUTE(J20,"(",""),")","")))))</f>
        <v/>
      </c>
      <c r="M20" s="10">
        <f>Draft_Helper!R4</f>
        <v/>
      </c>
      <c r="N20" s="11">
        <f>IFERROR(IF(OR(VLOOKUP(M20, Scores!$C$2:$D$459, 2, FALSE)="E", VLOOKUP(M20, Scores!$C$2:$D$459, 2, FALSE)=""), 0, VLOOKUP(M20, Scores!$C$2:$D$459, 2, FALSE)),0)</f>
        <v/>
      </c>
      <c r="O20" s="12">
        <f>IF(N20="","",IF(UPPER(TRIM(SUBSTITUTE(SUBSTITUTE(N20,"(",""),")","")))="E",0,VALUE(TRIM(SUBSTITUTE(SUBSTITUTE(N20,"(",""),")","")))))</f>
        <v/>
      </c>
      <c r="Q20" s="10">
        <f>Draft_Helper!T4</f>
        <v/>
      </c>
      <c r="R20" s="11">
        <f>IFERROR(IF(OR(VLOOKUP(Q20, Scores!$C$2:$D$459, 2, FALSE)="E", VLOOKUP(Q20, Scores!$C$2:$D$459, 2, FALSE)=""), 0, VLOOKUP(Q20, Scores!$C$2:$D$459, 2, FALSE)),0)</f>
        <v/>
      </c>
      <c r="S20" s="12">
        <f>IF(R20="","",IF(UPPER(TRIM(SUBSTITUTE(SUBSTITUTE(R20,"(",""),")","")))="E",0,VALUE(TRIM(SUBSTITUTE(SUBSTITUTE(R20,"(",""),")","")))))</f>
        <v/>
      </c>
    </row>
    <row r="21">
      <c r="A21" s="10">
        <f>Draft_Helper!L5</f>
        <v/>
      </c>
      <c r="B21" s="11">
        <f>IFERROR(IF(OR(VLOOKUP(A21, Scores!$C$2:$D$459, 2, FALSE)="E", VLOOKUP(A21, Scores!$C$2:$D$459, 2, FALSE)=""), 0, VLOOKUP(A21, Scores!$C$2:$D$459, 2, FALSE)),0)</f>
        <v/>
      </c>
      <c r="C21" s="12">
        <f>IF(B21="","",IF(UPPER(TRIM(SUBSTITUTE(SUBSTITUTE(B21,"(",""),")","")))="E",0,VALUE(TRIM(SUBSTITUTE(SUBSTITUTE(B21,"(",""),")","")))))</f>
        <v/>
      </c>
      <c r="E21" s="10">
        <f>Draft_Helper!N5</f>
        <v/>
      </c>
      <c r="F21" s="11">
        <f>IFERROR(IF(OR(VLOOKUP(E21, Scores!$C$2:$D$459, 2, FALSE)="E", VLOOKUP(E21, Scores!$C$2:$D$459, 2, FALSE)=""), 0, VLOOKUP(E21, Scores!$C$2:$D$459, 2, FALSE)),0)</f>
        <v/>
      </c>
      <c r="G21" s="12">
        <f>IF(F21="","",IF(UPPER(TRIM(SUBSTITUTE(SUBSTITUTE(F21,"(",""),")","")))="E",0,VALUE(TRIM(SUBSTITUTE(SUBSTITUTE(F21,"(",""),")","")))))</f>
        <v/>
      </c>
      <c r="I21" s="10">
        <f>Draft_Helper!P5</f>
        <v/>
      </c>
      <c r="J21" s="11">
        <f>IFERROR(IF(OR(VLOOKUP(I21, Scores!$C$2:$D$459, 2, FALSE)="E", VLOOKUP(I21, Scores!$C$2:$D$459, 2, FALSE)=""), 0, VLOOKUP(I21, Scores!$C$2:$D$459, 2, FALSE)),0)</f>
        <v/>
      </c>
      <c r="K21" s="12">
        <f>IF(J21="","",IF(UPPER(TRIM(SUBSTITUTE(SUBSTITUTE(J21,"(",""),")","")))="E",0,VALUE(TRIM(SUBSTITUTE(SUBSTITUTE(J21,"(",""),")","")))))</f>
        <v/>
      </c>
      <c r="M21" s="10">
        <f>Draft_Helper!R5</f>
        <v/>
      </c>
      <c r="N21" s="11">
        <f>IFERROR(IF(OR(VLOOKUP(M21, Scores!$C$2:$D$459, 2, FALSE)="E", VLOOKUP(M21, Scores!$C$2:$D$459, 2, FALSE)=""), 0, VLOOKUP(M21, Scores!$C$2:$D$459, 2, FALSE)),0)</f>
        <v/>
      </c>
      <c r="O21" s="12">
        <f>IF(N21="","",IF(UPPER(TRIM(SUBSTITUTE(SUBSTITUTE(N21,"(",""),")","")))="E",0,VALUE(TRIM(SUBSTITUTE(SUBSTITUTE(N21,"(",""),")","")))))</f>
        <v/>
      </c>
      <c r="Q21" s="10">
        <f>Draft_Helper!T5</f>
        <v/>
      </c>
      <c r="R21" s="11">
        <f>IFERROR(IF(OR(VLOOKUP(Q21, Scores!$C$2:$D$459, 2, FALSE)="E", VLOOKUP(Q21, Scores!$C$2:$D$459, 2, FALSE)=""), 0, VLOOKUP(Q21, Scores!$C$2:$D$459, 2, FALSE)),0)</f>
        <v/>
      </c>
      <c r="S21" s="12">
        <f>IF(R21="","",IF(UPPER(TRIM(SUBSTITUTE(SUBSTITUTE(R21,"(",""),")","")))="E",0,VALUE(TRIM(SUBSTITUTE(SUBSTITUTE(R21,"(",""),")","")))))</f>
        <v/>
      </c>
    </row>
    <row r="22">
      <c r="A22" s="10">
        <f>Draft_Helper!L6</f>
        <v/>
      </c>
      <c r="B22" s="11">
        <f>IFERROR(IF(OR(VLOOKUP(A22, Scores!$C$2:$D$459, 2, FALSE)="E", VLOOKUP(A22, Scores!$C$2:$D$459, 2, FALSE)=""), 0, VLOOKUP(A22, Scores!$C$2:$D$459, 2, FALSE)),0)</f>
        <v/>
      </c>
      <c r="C22" s="12">
        <f>IF(B22="","",IF(UPPER(TRIM(SUBSTITUTE(SUBSTITUTE(B22,"(",""),")","")))="E",0,VALUE(TRIM(SUBSTITUTE(SUBSTITUTE(B22,"(",""),")","")))))</f>
        <v/>
      </c>
      <c r="E22" s="10">
        <f>Draft_Helper!N6</f>
        <v/>
      </c>
      <c r="F22" s="11">
        <f>IFERROR(IF(OR(VLOOKUP(E22, Scores!$C$2:$D$459, 2, FALSE)="E", VLOOKUP(E22, Scores!$C$2:$D$459, 2, FALSE)=""), 0, VLOOKUP(E22, Scores!$C$2:$D$459, 2, FALSE)),0)</f>
        <v/>
      </c>
      <c r="G22" s="12">
        <f>IF(F22="","",IF(UPPER(TRIM(SUBSTITUTE(SUBSTITUTE(F22,"(",""),")","")))="E",0,VALUE(TRIM(SUBSTITUTE(SUBSTITUTE(F22,"(",""),")","")))))</f>
        <v/>
      </c>
      <c r="I22" s="10">
        <f>Draft_Helper!P6</f>
        <v/>
      </c>
      <c r="J22" s="11">
        <f>IFERROR(IF(OR(VLOOKUP(I22, Scores!$C$2:$D$459, 2, FALSE)="E", VLOOKUP(I22, Scores!$C$2:$D$459, 2, FALSE)=""), 0, VLOOKUP(I22, Scores!$C$2:$D$459, 2, FALSE)),0)</f>
        <v/>
      </c>
      <c r="K22" s="12">
        <f>IF(J22="","",IF(UPPER(TRIM(SUBSTITUTE(SUBSTITUTE(J22,"(",""),")","")))="E",0,VALUE(TRIM(SUBSTITUTE(SUBSTITUTE(J22,"(",""),")","")))))</f>
        <v/>
      </c>
      <c r="M22" s="10">
        <f>Draft_Helper!R6</f>
        <v/>
      </c>
      <c r="N22" s="11">
        <f>IFERROR(IF(OR(VLOOKUP(M22, Scores!$C$2:$D$459, 2, FALSE)="E", VLOOKUP(M22, Scores!$C$2:$D$459, 2, FALSE)=""), 0, VLOOKUP(M22, Scores!$C$2:$D$459, 2, FALSE)),0)</f>
        <v/>
      </c>
      <c r="O22" s="12">
        <f>IF(N22="","",IF(UPPER(TRIM(SUBSTITUTE(SUBSTITUTE(N22,"(",""),")","")))="E",0,VALUE(TRIM(SUBSTITUTE(SUBSTITUTE(N22,"(",""),")","")))))</f>
        <v/>
      </c>
      <c r="Q22" s="10">
        <f>Draft_Helper!T6</f>
        <v/>
      </c>
      <c r="R22" s="11">
        <f>IFERROR(IF(OR(VLOOKUP(Q22, Scores!$C$2:$D$459, 2, FALSE)="E", VLOOKUP(Q22, Scores!$C$2:$D$459, 2, FALSE)=""), 0, VLOOKUP(Q22, Scores!$C$2:$D$459, 2, FALSE)),0)</f>
        <v/>
      </c>
      <c r="S22" s="12">
        <f>IF(R22="","",IF(UPPER(TRIM(SUBSTITUTE(SUBSTITUTE(R22,"(",""),")","")))="E",0,VALUE(TRIM(SUBSTITUTE(SUBSTITUTE(R22,"(",""),")","")))))</f>
        <v/>
      </c>
    </row>
    <row r="23">
      <c r="A23" s="10">
        <f>Draft_Helper!L7</f>
        <v/>
      </c>
      <c r="B23" s="11">
        <f>IFERROR(IF(OR(VLOOKUP(A23, Scores!$C$2:$D$459, 2, FALSE)="E", VLOOKUP(A23, Scores!$C$2:$D$459, 2, FALSE)=""), 0, VLOOKUP(A23, Scores!$C$2:$D$459, 2, FALSE)),0)</f>
        <v/>
      </c>
      <c r="C23" s="12">
        <f>IF(B23="","",IF(UPPER(TRIM(SUBSTITUTE(SUBSTITUTE(B23,"(",""),")","")))="E",0,VALUE(TRIM(SUBSTITUTE(SUBSTITUTE(B23,"(",""),")","")))))</f>
        <v/>
      </c>
      <c r="E23" s="10">
        <f>Draft_Helper!N7</f>
        <v/>
      </c>
      <c r="F23" s="11">
        <f>IFERROR(IF(OR(VLOOKUP(E23, Scores!$C$2:$D$459, 2, FALSE)="E", VLOOKUP(E23, Scores!$C$2:$D$459, 2, FALSE)=""), 0, VLOOKUP(E23, Scores!$C$2:$D$459, 2, FALSE)),0)</f>
        <v/>
      </c>
      <c r="G23" s="12">
        <f>IF(F23="","",IF(UPPER(TRIM(SUBSTITUTE(SUBSTITUTE(F23,"(",""),")","")))="E",0,VALUE(TRIM(SUBSTITUTE(SUBSTITUTE(F23,"(",""),")","")))))</f>
        <v/>
      </c>
      <c r="I23" s="10">
        <f>Draft_Helper!P7</f>
        <v/>
      </c>
      <c r="J23" s="11">
        <f>IFERROR(IF(OR(VLOOKUP(I23, Scores!$C$2:$D$459, 2, FALSE)="E", VLOOKUP(I23, Scores!$C$2:$D$459, 2, FALSE)=""), 0, VLOOKUP(I23, Scores!$C$2:$D$459, 2, FALSE)),0)</f>
        <v/>
      </c>
      <c r="K23" s="12">
        <f>IF(J23="","",IF(UPPER(TRIM(SUBSTITUTE(SUBSTITUTE(J23,"(",""),")","")))="E",0,VALUE(TRIM(SUBSTITUTE(SUBSTITUTE(J23,"(",""),")","")))))</f>
        <v/>
      </c>
      <c r="M23" s="10">
        <f>Draft_Helper!R7</f>
        <v/>
      </c>
      <c r="N23" s="11">
        <f>IFERROR(IF(OR(VLOOKUP(M23, Scores!$C$2:$D$459, 2, FALSE)="E", VLOOKUP(M23, Scores!$C$2:$D$459, 2, FALSE)=""), 0, VLOOKUP(M23, Scores!$C$2:$D$459, 2, FALSE)),0)</f>
        <v/>
      </c>
      <c r="O23" s="12">
        <f>IF(N23="","",IF(UPPER(TRIM(SUBSTITUTE(SUBSTITUTE(N23,"(",""),")","")))="E",0,VALUE(TRIM(SUBSTITUTE(SUBSTITUTE(N23,"(",""),")","")))))</f>
        <v/>
      </c>
      <c r="Q23" s="10">
        <f>Draft_Helper!T7</f>
        <v/>
      </c>
      <c r="R23" s="11">
        <f>IFERROR(IF(OR(VLOOKUP(Q23, Scores!$C$2:$D$459, 2, FALSE)="E", VLOOKUP(Q23, Scores!$C$2:$D$459, 2, FALSE)=""), 0, VLOOKUP(Q23, Scores!$C$2:$D$459, 2, FALSE)),0)</f>
        <v/>
      </c>
      <c r="S23" s="12">
        <f>IF(R23="","",IF(UPPER(TRIM(SUBSTITUTE(SUBSTITUTE(R23,"(",""),")","")))="E",0,VALUE(TRIM(SUBSTITUTE(SUBSTITUTE(R23,"(",""),")","")))))</f>
        <v/>
      </c>
    </row>
    <row r="24">
      <c r="A24" s="10">
        <f>Draft_Helper!L8</f>
        <v/>
      </c>
      <c r="B24" s="11">
        <f>IFERROR(IF(OR(VLOOKUP(A24, Scores!$C$2:$D$459, 2, FALSE)="E", VLOOKUP(A24, Scores!$C$2:$D$459, 2, FALSE)=""), 0, VLOOKUP(A24, Scores!$C$2:$D$459, 2, FALSE)),0)</f>
        <v/>
      </c>
      <c r="C24" s="12">
        <f>IF(B24="","",IF(UPPER(TRIM(SUBSTITUTE(SUBSTITUTE(B24,"(",""),")","")))="E",0,VALUE(TRIM(SUBSTITUTE(SUBSTITUTE(B24,"(",""),")","")))))</f>
        <v/>
      </c>
      <c r="E24" s="10">
        <f>Draft_Helper!N8</f>
        <v/>
      </c>
      <c r="F24" s="11">
        <f>IFERROR(IF(OR(VLOOKUP(E24, Scores!$C$2:$D$459, 2, FALSE)="E", VLOOKUP(E24, Scores!$C$2:$D$459, 2, FALSE)=""), 0, VLOOKUP(E24, Scores!$C$2:$D$459, 2, FALSE)),0)</f>
        <v/>
      </c>
      <c r="G24" s="12">
        <f>IF(F24="","",IF(UPPER(TRIM(SUBSTITUTE(SUBSTITUTE(F24,"(",""),")","")))="E",0,VALUE(TRIM(SUBSTITUTE(SUBSTITUTE(F24,"(",""),")","")))))</f>
        <v/>
      </c>
      <c r="I24" s="10">
        <f>Draft_Helper!P8</f>
        <v/>
      </c>
      <c r="J24" s="11">
        <f>IFERROR(IF(OR(VLOOKUP(I24, Scores!$C$2:$D$459, 2, FALSE)="E", VLOOKUP(I24, Scores!$C$2:$D$459, 2, FALSE)=""), 0, VLOOKUP(I24, Scores!$C$2:$D$459, 2, FALSE)),0)</f>
        <v/>
      </c>
      <c r="K24" s="12">
        <f>IF(J24="","",IF(UPPER(TRIM(SUBSTITUTE(SUBSTITUTE(J24,"(",""),")","")))="E",0,VALUE(TRIM(SUBSTITUTE(SUBSTITUTE(J24,"(",""),")","")))))</f>
        <v/>
      </c>
      <c r="M24" s="10">
        <f>Draft_Helper!R8</f>
        <v/>
      </c>
      <c r="N24" s="11">
        <f>IFERROR(IF(OR(VLOOKUP(M24, Scores!$C$2:$D$459, 2, FALSE)="E", VLOOKUP(M24, Scores!$C$2:$D$459, 2, FALSE)=""), 0, VLOOKUP(M24, Scores!$C$2:$D$459, 2, FALSE)),0)</f>
        <v/>
      </c>
      <c r="O24" s="12">
        <f>IF(N24="","",IF(UPPER(TRIM(SUBSTITUTE(SUBSTITUTE(N24,"(",""),")","")))="E",0,VALUE(TRIM(SUBSTITUTE(SUBSTITUTE(N24,"(",""),")","")))))</f>
        <v/>
      </c>
      <c r="Q24" s="10">
        <f>Draft_Helper!T8</f>
        <v/>
      </c>
      <c r="R24" s="11">
        <f>IFERROR(IF(OR(VLOOKUP(Q24, Scores!$C$2:$D$459, 2, FALSE)="E", VLOOKUP(Q24, Scores!$C$2:$D$459, 2, FALSE)=""), 0, VLOOKUP(Q24, Scores!$C$2:$D$459, 2, FALSE)),0)</f>
        <v/>
      </c>
      <c r="S24" s="12">
        <f>IF(R24="","",IF(UPPER(TRIM(SUBSTITUTE(SUBSTITUTE(R24,"(",""),")","")))="E",0,VALUE(TRIM(SUBSTITUTE(SUBSTITUTE(R24,"(",""),")","")))))</f>
        <v/>
      </c>
    </row>
    <row r="25">
      <c r="A25" s="10">
        <f>Draft_Helper!L9</f>
        <v/>
      </c>
      <c r="B25" s="11">
        <f>IFERROR(IF(OR(VLOOKUP(A25, Scores!$C$2:$D$459, 2, FALSE)="E", VLOOKUP(A25, Scores!$C$2:$D$459, 2, FALSE)=""), 0, VLOOKUP(A25, Scores!$C$2:$D$459, 2, FALSE)),0)</f>
        <v/>
      </c>
      <c r="C25" s="12">
        <f>IF(B25="","",IF(UPPER(TRIM(SUBSTITUTE(SUBSTITUTE(B25,"(",""),")","")))="E",0,VALUE(TRIM(SUBSTITUTE(SUBSTITUTE(B25,"(",""),")","")))))</f>
        <v/>
      </c>
      <c r="E25" s="10">
        <f>Draft_Helper!N9</f>
        <v/>
      </c>
      <c r="F25" s="11">
        <f>IFERROR(IF(OR(VLOOKUP(E25, Scores!$C$2:$D$459, 2, FALSE)="E", VLOOKUP(E25, Scores!$C$2:$D$459, 2, FALSE)=""), 0, VLOOKUP(E25, Scores!$C$2:$D$459, 2, FALSE)),0)</f>
        <v/>
      </c>
      <c r="G25" s="12">
        <f>IF(F25="","",IF(UPPER(TRIM(SUBSTITUTE(SUBSTITUTE(F25,"(",""),")","")))="E",0,VALUE(TRIM(SUBSTITUTE(SUBSTITUTE(F25,"(",""),")","")))))</f>
        <v/>
      </c>
      <c r="I25" s="10">
        <f>Draft_Helper!P9</f>
        <v/>
      </c>
      <c r="J25" s="11">
        <f>IFERROR(IF(OR(VLOOKUP(I25, Scores!$C$2:$D$459, 2, FALSE)="E", VLOOKUP(I25, Scores!$C$2:$D$459, 2, FALSE)=""), 0, VLOOKUP(I25, Scores!$C$2:$D$459, 2, FALSE)),0)</f>
        <v/>
      </c>
      <c r="K25" s="12">
        <f>IF(J25="","",IF(UPPER(TRIM(SUBSTITUTE(SUBSTITUTE(J25,"(",""),")","")))="E",0,VALUE(TRIM(SUBSTITUTE(SUBSTITUTE(J25,"(",""),")","")))))</f>
        <v/>
      </c>
      <c r="M25" s="10">
        <f>Draft_Helper!R9</f>
        <v/>
      </c>
      <c r="N25" s="11">
        <f>IFERROR(IF(OR(VLOOKUP(M25, Scores!$C$2:$D$459, 2, FALSE)="E", VLOOKUP(M25, Scores!$C$2:$D$459, 2, FALSE)=""), 0, VLOOKUP(M25, Scores!$C$2:$D$459, 2, FALSE)),0)</f>
        <v/>
      </c>
      <c r="O25" s="12">
        <f>IF(N25="","",IF(UPPER(TRIM(SUBSTITUTE(SUBSTITUTE(N25,"(",""),")","")))="E",0,VALUE(TRIM(SUBSTITUTE(SUBSTITUTE(N25,"(",""),")","")))))</f>
        <v/>
      </c>
      <c r="Q25" s="10">
        <f>Draft_Helper!T9</f>
        <v/>
      </c>
      <c r="R25" s="11">
        <f>IFERROR(IF(OR(VLOOKUP(Q25, Scores!$C$2:$D$459, 2, FALSE)="E", VLOOKUP(Q25, Scores!$C$2:$D$459, 2, FALSE)=""), 0, VLOOKUP(Q25, Scores!$C$2:$D$459, 2, FALSE)),0)</f>
        <v/>
      </c>
      <c r="S25" s="12">
        <f>IF(R25="","",IF(UPPER(TRIM(SUBSTITUTE(SUBSTITUTE(R25,"(",""),")","")))="E",0,VALUE(TRIM(SUBSTITUTE(SUBSTITUTE(R25,"(",""),")","")))))</f>
        <v/>
      </c>
    </row>
    <row r="26">
      <c r="A26" s="10">
        <f>Draft_Helper!L10</f>
        <v/>
      </c>
      <c r="B26" s="11">
        <f>IFERROR(IF(OR(VLOOKUP(A26, Scores!$C$2:$D$459, 2, FALSE)="E", VLOOKUP(A26, Scores!$C$2:$D$459, 2, FALSE)=""), 0, VLOOKUP(A26, Scores!$C$2:$D$459, 2, FALSE)),0)</f>
        <v/>
      </c>
      <c r="C26" s="12">
        <f>IF(B26="","",IF(UPPER(TRIM(SUBSTITUTE(SUBSTITUTE(B26,"(",""),")","")))="E",0,VALUE(TRIM(SUBSTITUTE(SUBSTITUTE(B26,"(",""),")","")))))</f>
        <v/>
      </c>
      <c r="E26" s="10">
        <f>Draft_Helper!N10</f>
        <v/>
      </c>
      <c r="F26" s="11">
        <f>IFERROR(IF(OR(VLOOKUP(E26, Scores!$C$2:$D$459, 2, FALSE)="E", VLOOKUP(E26, Scores!$C$2:$D$459, 2, FALSE)=""), 0, VLOOKUP(E26, Scores!$C$2:$D$459, 2, FALSE)),0)</f>
        <v/>
      </c>
      <c r="G26" s="12">
        <f>IF(F26="","",IF(UPPER(TRIM(SUBSTITUTE(SUBSTITUTE(F26,"(",""),")","")))="E",0,VALUE(TRIM(SUBSTITUTE(SUBSTITUTE(F26,"(",""),")","")))))</f>
        <v/>
      </c>
      <c r="I26" s="10">
        <f>Draft_Helper!P10</f>
        <v/>
      </c>
      <c r="J26" s="11">
        <f>IFERROR(IF(OR(VLOOKUP(I26, Scores!$C$2:$D$459, 2, FALSE)="E", VLOOKUP(I26, Scores!$C$2:$D$459, 2, FALSE)=""), 0, VLOOKUP(I26, Scores!$C$2:$D$459, 2, FALSE)),0)</f>
        <v/>
      </c>
      <c r="K26" s="12">
        <f>IF(J26="","",IF(UPPER(TRIM(SUBSTITUTE(SUBSTITUTE(J26,"(",""),")","")))="E",0,VALUE(TRIM(SUBSTITUTE(SUBSTITUTE(J26,"(",""),")","")))))</f>
        <v/>
      </c>
      <c r="M26" s="10">
        <f>Draft_Helper!R10</f>
        <v/>
      </c>
      <c r="N26" s="11">
        <f>IFERROR(IF(OR(VLOOKUP(M26, Scores!$C$2:$D$459, 2, FALSE)="E", VLOOKUP(M26, Scores!$C$2:$D$459, 2, FALSE)=""), 0, VLOOKUP(M26, Scores!$C$2:$D$459, 2, FALSE)),0)</f>
        <v/>
      </c>
      <c r="O26" s="12">
        <f>IF(N26="","",IF(UPPER(TRIM(SUBSTITUTE(SUBSTITUTE(N26,"(",""),")","")))="E",0,VALUE(TRIM(SUBSTITUTE(SUBSTITUTE(N26,"(",""),")","")))))</f>
        <v/>
      </c>
      <c r="Q26" s="10">
        <f>Draft_Helper!T10</f>
        <v/>
      </c>
      <c r="R26" s="11">
        <f>IFERROR(IF(OR(VLOOKUP(Q26, Scores!$C$2:$D$459, 2, FALSE)="E", VLOOKUP(Q26, Scores!$C$2:$D$459, 2, FALSE)=""), 0, VLOOKUP(Q26, Scores!$C$2:$D$459, 2, FALSE)),0)</f>
        <v/>
      </c>
      <c r="S26" s="12">
        <f>IF(R26="","",IF(UPPER(TRIM(SUBSTITUTE(SUBSTITUTE(R26,"(",""),")","")))="E",0,VALUE(TRIM(SUBSTITUTE(SUBSTITUTE(R26,"(",""),")","")))))</f>
        <v/>
      </c>
    </row>
    <row r="27">
      <c r="A27" s="10">
        <f>Draft_Helper!L11</f>
        <v/>
      </c>
      <c r="B27" s="11" t="n"/>
      <c r="C27" s="12">
        <f>IF(B27="","",IF(UPPER(TRIM(SUBSTITUTE(SUBSTITUTE(B27,"(",""),")","")))="E",0,VALUE(TRIM(SUBSTITUTE(SUBSTITUTE(B27,"(",""),")","")))))</f>
        <v/>
      </c>
      <c r="E27" s="10">
        <f>Draft_Helper!N11</f>
        <v/>
      </c>
      <c r="F27" s="11" t="n"/>
      <c r="G27" s="12">
        <f>IF(F27="","",IF(UPPER(TRIM(SUBSTITUTE(SUBSTITUTE(F27,"(",""),")","")))="E",0,VALUE(TRIM(SUBSTITUTE(SUBSTITUTE(F27,"(",""),")","")))))</f>
        <v/>
      </c>
      <c r="I27" s="10">
        <f>Draft_Helper!P11</f>
        <v/>
      </c>
      <c r="J27" s="11" t="n"/>
      <c r="K27" s="12">
        <f>IF(J27="","",IF(UPPER(TRIM(SUBSTITUTE(SUBSTITUTE(J27,"(",""),")","")))="E",0,VALUE(TRIM(SUBSTITUTE(SUBSTITUTE(J27,"(",""),")","")))))</f>
        <v/>
      </c>
      <c r="M27" s="10">
        <f>Draft_Helper!R11</f>
        <v/>
      </c>
      <c r="N27" s="11" t="n"/>
      <c r="O27" s="12">
        <f>IF(N27="","",IF(UPPER(TRIM(SUBSTITUTE(SUBSTITUTE(N27,"(",""),")","")))="E",0,VALUE(TRIM(SUBSTITUTE(SUBSTITUTE(N27,"(",""),")","")))))</f>
        <v/>
      </c>
      <c r="Q27" s="10">
        <f>Draft_Helper!T11</f>
        <v/>
      </c>
      <c r="R27" s="11">
        <f>IFERROR(IF(OR(VLOOKUP(Q27, Scores!$C$2:$D$459, 2, FALSE)="E", VLOOKUP(Q27, Scores!$C$2:$D$459, 2, FALSE)=""), 0, VLOOKUP(Q27, Scores!$C$2:$D$459, 2, FALSE)),0)</f>
        <v/>
      </c>
      <c r="S27" s="12">
        <f>IF(R27="","",IF(UPPER(TRIM(SUBSTITUTE(SUBSTITUTE(R27,"(",""),")","")))="E",0,VALUE(TRIM(SUBSTITUTE(SUBSTITUTE(R27,"(",""),")","")))))</f>
        <v/>
      </c>
    </row>
    <row r="28">
      <c r="A28" s="27" t="inlineStr">
        <is>
          <t>Best 3 Total</t>
        </is>
      </c>
      <c r="C28" s="13">
        <f>IF(COUNT(C18:C27)=0,"",SUM(IFERROR(SMALL(C18:C27,1),0),IFERROR(SMALL(C18:C27,2),0),IFERROR(SMALL(C18:C27,3),0)))</f>
        <v/>
      </c>
      <c r="E28" s="27" t="inlineStr">
        <is>
          <t>Best 3 Total</t>
        </is>
      </c>
      <c r="G28" s="13">
        <f>IF(COUNT(G18:G27)=0,"",SUM(IFERROR(SMALL(G18:G27,1),0),IFERROR(SMALL(G18:G27,2),0),IFERROR(SMALL(G18:G27,3),0)))</f>
        <v/>
      </c>
      <c r="I28" s="27" t="inlineStr">
        <is>
          <t>Best 3 Total</t>
        </is>
      </c>
      <c r="K28" s="13">
        <f>IF(COUNT(K18:K27)=0,"",SUM(IFERROR(SMALL(K18:K27,1),0),IFERROR(SMALL(K18:K27,2),0),IFERROR(SMALL(K18:K27,3),0)))</f>
        <v/>
      </c>
      <c r="M28" s="27" t="inlineStr">
        <is>
          <t>Best 3 Total</t>
        </is>
      </c>
      <c r="O28" s="13">
        <f>IF(COUNT(O18:O27)=0,"",SUM(IFERROR(SMALL(O18:O27,1),0),IFERROR(SMALL(O18:O27,2),0),IFERROR(SMALL(O18:O27,3),0)))</f>
        <v/>
      </c>
      <c r="Q28" s="27" t="inlineStr">
        <is>
          <t>Best 3 Total</t>
        </is>
      </c>
      <c r="S28" s="13">
        <f>IF(COUNT(S18:S27)=0,"",SUM(IFERROR(SMALL(S18:S27,1),0),IFERROR(SMALL(S18:S27,2),0),IFERROR(SMALL(S18:S27,3),0)))</f>
        <v/>
      </c>
    </row>
  </sheetData>
  <mergeCells count="20">
    <mergeCell ref="I16:K16"/>
    <mergeCell ref="Q13:R13"/>
    <mergeCell ref="Q28:R28"/>
    <mergeCell ref="M16:O16"/>
    <mergeCell ref="Q1:S1"/>
    <mergeCell ref="I1:K1"/>
    <mergeCell ref="E28:F28"/>
    <mergeCell ref="E13:F13"/>
    <mergeCell ref="I28:J28"/>
    <mergeCell ref="E16:G16"/>
    <mergeCell ref="M13:N13"/>
    <mergeCell ref="M28:N28"/>
    <mergeCell ref="Q16:S16"/>
    <mergeCell ref="A1:C1"/>
    <mergeCell ref="A28:B28"/>
    <mergeCell ref="M1:O1"/>
    <mergeCell ref="A13:B13"/>
    <mergeCell ref="I13:J13"/>
    <mergeCell ref="A16:C16"/>
    <mergeCell ref="E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0B0F0"/>
    <outlinePr summaryBelow="1" summaryRight="1"/>
    <pageSetUpPr/>
  </sheetPr>
  <dimension ref="A1:D16"/>
  <sheetViews>
    <sheetView showGridLines="0" workbookViewId="0">
      <selection activeCell="B2" sqref="B2"/>
    </sheetView>
  </sheetViews>
  <sheetFormatPr baseColWidth="8" defaultRowHeight="15"/>
  <cols>
    <col width="24" customWidth="1" style="28" min="1" max="1"/>
    <col width="14" customWidth="1" style="28" min="2" max="3"/>
    <col hidden="1" width="14" customWidth="1" style="28" min="4" max="4"/>
  </cols>
  <sheetData>
    <row r="1">
      <c r="A1" s="29" t="inlineStr">
        <is>
          <t>Team</t>
        </is>
      </c>
      <c r="B1" s="29" t="inlineStr">
        <is>
          <t>Best 3 Total</t>
        </is>
      </c>
      <c r="C1" s="29" t="inlineStr">
        <is>
          <t>Scores Entered</t>
        </is>
      </c>
      <c r="D1" s="29" t="inlineStr">
        <is>
          <t>Roster Loaded</t>
        </is>
      </c>
    </row>
    <row r="2">
      <c r="A2" s="14">
        <f>Team_Scoring!A1</f>
        <v/>
      </c>
      <c r="B2" s="15">
        <f>Team_Scoring!C13</f>
        <v/>
      </c>
      <c r="C2" s="14">
        <f>COUNT(Team_Scoring!C3:C12)</f>
        <v/>
      </c>
      <c r="D2" s="14">
        <f>IF(COUNTA(Team_Scoring!A3:A12)&gt;0,"Yes","No")</f>
        <v/>
      </c>
    </row>
    <row r="3">
      <c r="A3" s="14">
        <f>Team_Scoring!E1</f>
        <v/>
      </c>
      <c r="B3" s="15">
        <f>Team_Scoring!G13</f>
        <v/>
      </c>
      <c r="C3" s="14">
        <f>COUNT(Team_Scoring!G3:G12)</f>
        <v/>
      </c>
      <c r="D3" s="14">
        <f>IF(COUNTA(Team_Scoring!E3:E12)&gt;0,"Yes","No")</f>
        <v/>
      </c>
    </row>
    <row r="4">
      <c r="A4" s="14">
        <f>Team_Scoring!I1</f>
        <v/>
      </c>
      <c r="B4" s="15">
        <f>Team_Scoring!K13</f>
        <v/>
      </c>
      <c r="C4" s="14">
        <f>COUNT(Team_Scoring!K3:K12)</f>
        <v/>
      </c>
      <c r="D4" s="14">
        <f>IF(COUNTA(Team_Scoring!I3:I12)&gt;0,"Yes","No")</f>
        <v/>
      </c>
    </row>
    <row r="5">
      <c r="A5" s="14">
        <f>Team_Scoring!M1</f>
        <v/>
      </c>
      <c r="B5" s="15">
        <f>Team_Scoring!O13</f>
        <v/>
      </c>
      <c r="C5" s="14">
        <f>COUNT(Team_Scoring!O3:O12)</f>
        <v/>
      </c>
      <c r="D5" s="14">
        <f>IF(COUNTA(Team_Scoring!M3:M12)&gt;0,"Yes","No")</f>
        <v/>
      </c>
    </row>
    <row r="6">
      <c r="A6" s="14">
        <f>Team_Scoring!Q1</f>
        <v/>
      </c>
      <c r="B6" s="15">
        <f>Team_Scoring!S13</f>
        <v/>
      </c>
      <c r="C6" s="14">
        <f>COUNT(Team_Scoring!S3:S12)</f>
        <v/>
      </c>
      <c r="D6" s="14">
        <f>IF(COUNTA(Team_Scoring!Q3:Q12)&gt;0,"Yes","No")</f>
        <v/>
      </c>
    </row>
    <row r="7">
      <c r="A7" s="14">
        <f>Team_Scoring!A16</f>
        <v/>
      </c>
      <c r="B7" s="15">
        <f>Team_Scoring!C28</f>
        <v/>
      </c>
      <c r="C7" s="14">
        <f>COUNT(Team_Scoring!C18:C27)</f>
        <v/>
      </c>
      <c r="D7" s="14">
        <f>IF(COUNTA(Team_Scoring!A18:A27)&gt;0,"Yes","No")</f>
        <v/>
      </c>
    </row>
    <row r="8">
      <c r="A8" s="14">
        <f>Team_Scoring!E16</f>
        <v/>
      </c>
      <c r="B8" s="15">
        <f>Team_Scoring!G28</f>
        <v/>
      </c>
      <c r="C8" s="14">
        <f>COUNT(Team_Scoring!G18:G27)</f>
        <v/>
      </c>
      <c r="D8" s="14">
        <f>IF(COUNTA(Team_Scoring!E18:E27)&gt;0,"Yes","No")</f>
        <v/>
      </c>
    </row>
    <row r="9">
      <c r="A9" s="14">
        <f>Team_Scoring!I16</f>
        <v/>
      </c>
      <c r="B9" s="15">
        <f>Team_Scoring!K28</f>
        <v/>
      </c>
      <c r="C9" s="14">
        <f>COUNT(Team_Scoring!K18:K27)</f>
        <v/>
      </c>
      <c r="D9" s="14">
        <f>IF(COUNTA(Team_Scoring!I18:I27)&gt;0,"Yes","No")</f>
        <v/>
      </c>
    </row>
    <row r="10">
      <c r="A10" s="14">
        <f>Team_Scoring!M16</f>
        <v/>
      </c>
      <c r="B10" s="15">
        <f>Team_Scoring!O28</f>
        <v/>
      </c>
      <c r="C10" s="14">
        <f>COUNT(Team_Scoring!O18:O27)</f>
        <v/>
      </c>
      <c r="D10" s="14">
        <f>IF(COUNTA(Team_Scoring!M18:O27)&gt;0,"Yes","No")</f>
        <v/>
      </c>
    </row>
    <row r="11">
      <c r="A11" s="14">
        <f>Team_Scoring!Q16</f>
        <v/>
      </c>
      <c r="B11" s="15">
        <f>Team_Scoring!S28</f>
        <v/>
      </c>
      <c r="C11" s="14">
        <f>COUNT(Team_Scoring!S18:S27)</f>
        <v/>
      </c>
      <c r="D11" s="14">
        <f>IF(COUNTA(Team_Scoring!Q18:Q27)&gt;0,"Yes","No")</f>
        <v/>
      </c>
    </row>
    <row r="14" hidden="1" ht="15.75" customHeight="1" s="28">
      <c r="A14" s="5" t="inlineStr">
        <is>
          <t>Example</t>
        </is>
      </c>
    </row>
    <row r="15" hidden="1" s="28">
      <c r="A15" s="30" t="inlineStr">
        <is>
          <t>If a team has scores of -4, -4, -4, and E, the Best 4 Total returns -12 because E is converted to 0.</t>
        </is>
      </c>
    </row>
    <row r="16" hidden="1" s="28"/>
  </sheetData>
  <mergeCells count="1">
    <mergeCell ref="A15:D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H10" sqref="H10"/>
    </sheetView>
  </sheetViews>
  <sheetFormatPr baseColWidth="8" defaultRowHeight="15"/>
  <cols>
    <col width="31" bestFit="1" customWidth="1" style="28" min="1" max="4"/>
    <col width="35.85546875" bestFit="1" customWidth="1" style="28" min="5" max="5"/>
  </cols>
  <sheetData>
    <row r="1" ht="27" customHeight="1" s="28" thickTop="1">
      <c r="A1" s="17" t="inlineStr">
        <is>
          <t>Ross</t>
        </is>
      </c>
      <c r="B1" s="17" t="inlineStr">
        <is>
          <t>Melbye²</t>
        </is>
      </c>
      <c r="C1" s="17" t="inlineStr">
        <is>
          <t>Bryan</t>
        </is>
      </c>
      <c r="D1" s="26" t="inlineStr">
        <is>
          <t>Dan 'Full Swing' Clark</t>
        </is>
      </c>
      <c r="E1" s="17" t="inlineStr">
        <is>
          <t>Roth</t>
        </is>
      </c>
    </row>
    <row r="2" ht="40.5" customHeight="1" s="28" thickBot="1">
      <c r="A2" s="24" t="inlineStr">
        <is>
          <t>Team 1</t>
        </is>
      </c>
      <c r="B2" s="25" t="inlineStr">
        <is>
          <t>Team 2</t>
        </is>
      </c>
      <c r="C2" s="25" t="inlineStr">
        <is>
          <t>Team 3</t>
        </is>
      </c>
      <c r="D2" s="25" t="inlineStr">
        <is>
          <t>Team 4</t>
        </is>
      </c>
      <c r="E2" s="25" t="inlineStr">
        <is>
          <t>Team 5</t>
        </is>
      </c>
    </row>
    <row r="3" ht="15.75" customHeight="1" s="28" thickTop="1">
      <c r="A3">
        <f t="array" ref="A3:A11">_xlfn._xlws.FILTER(Draft_Import!$E$2:$E$200,TRIM(Draft_Import!$D$2:$D$200)=TRIM($A$1),"")</f>
        <v/>
      </c>
      <c r="B3" s="21">
        <f t="array" ref="B3:B11">_xlfn._xlws.FILTER(Draft_Import!$E$2:$E$200,Draft_Import!$D$2:$D$200=$B$1,"")</f>
        <v/>
      </c>
      <c r="C3" s="21">
        <f t="array" ref="C3:C11">_xlfn._xlws.FILTER(Draft_Import!$E$2:$E$200,Draft_Import!$D$2:$D$200=$C$1,"")</f>
        <v/>
      </c>
      <c r="D3" s="21">
        <f t="array" ref="D3:D11">_xlfn._xlws.FILTER(Draft_Import!$E$2:$E$200,Draft_Import!$D$2:$D$200=$D$1,"")</f>
        <v/>
      </c>
      <c r="E3" s="21">
        <f t="array" ref="E3:E11">_xlfn._xlws.FILTER(Draft_Import!$E$2:$E$200,TRIM(Draft_Import!$D$2:$D$200)=TRIM($E$1),"")</f>
        <v/>
      </c>
    </row>
    <row r="4">
      <c r="A4" s="19" t="inlineStr">
        <is>
          <t>Akshay Bhatia</t>
        </is>
      </c>
      <c r="B4" s="19" t="inlineStr">
        <is>
          <t>Brooks Koepka</t>
        </is>
      </c>
      <c r="C4" s="19" t="inlineStr">
        <is>
          <t>Russell Henley</t>
        </is>
      </c>
      <c r="D4" s="19" t="inlineStr">
        <is>
          <t>Si Woo Kim</t>
        </is>
      </c>
      <c r="E4" s="19" t="inlineStr">
        <is>
          <t>Hideki Matsuyama</t>
        </is>
      </c>
    </row>
    <row r="5">
      <c r="A5" s="19" t="inlineStr">
        <is>
          <t>Chris Gotterup</t>
        </is>
      </c>
      <c r="B5" s="19" t="inlineStr">
        <is>
          <t>Jake Knapp</t>
        </is>
      </c>
      <c r="C5" s="19" t="inlineStr">
        <is>
          <t>Corey Conners</t>
        </is>
      </c>
      <c r="D5" s="19" t="inlineStr">
        <is>
          <t>Jacob Bridgeman</t>
        </is>
      </c>
      <c r="E5" s="19" t="inlineStr">
        <is>
          <t>J.J. Spaun</t>
        </is>
      </c>
    </row>
    <row r="6">
      <c r="A6" s="19" t="inlineStr">
        <is>
          <t>Patrick Cantlay</t>
        </is>
      </c>
      <c r="B6" s="19" t="inlineStr">
        <is>
          <t>Sam Burns</t>
        </is>
      </c>
      <c r="C6" s="19" t="inlineStr">
        <is>
          <t>Maverick McNealy</t>
        </is>
      </c>
      <c r="D6" s="19" t="inlineStr">
        <is>
          <t>Shane Lowry</t>
        </is>
      </c>
      <c r="E6" s="19" t="inlineStr">
        <is>
          <t>Ben Griffin</t>
        </is>
      </c>
    </row>
    <row r="7">
      <c r="A7" s="19" t="inlineStr">
        <is>
          <t>Harris English</t>
        </is>
      </c>
      <c r="B7" s="19" t="inlineStr">
        <is>
          <t>Daniel Berger</t>
        </is>
      </c>
      <c r="C7" s="19" t="inlineStr">
        <is>
          <t>Harry Hall</t>
        </is>
      </c>
      <c r="D7" s="19" t="inlineStr">
        <is>
          <t>Keegan Bradley</t>
        </is>
      </c>
      <c r="E7" s="19" t="inlineStr">
        <is>
          <t>Kurt Kitayama</t>
        </is>
      </c>
    </row>
    <row r="8">
      <c r="A8" s="19" t="inlineStr">
        <is>
          <t>Aaron Rai</t>
        </is>
      </c>
      <c r="B8" s="19" t="inlineStr">
        <is>
          <t>Aldrich Potgieter</t>
        </is>
      </c>
      <c r="C8" s="19" t="inlineStr">
        <is>
          <t>Nick Taylor</t>
        </is>
      </c>
      <c r="D8" s="19" t="inlineStr">
        <is>
          <t>Alex Noren</t>
        </is>
      </c>
      <c r="E8" s="19" t="inlineStr">
        <is>
          <t>Matt McCarty</t>
        </is>
      </c>
    </row>
    <row r="9">
      <c r="A9" s="19" t="inlineStr">
        <is>
          <t>Casey Jarvis</t>
        </is>
      </c>
      <c r="B9" s="19" t="inlineStr">
        <is>
          <t>Max Greyserman</t>
        </is>
      </c>
      <c r="C9" s="19" t="inlineStr">
        <is>
          <t>Michael Kim</t>
        </is>
      </c>
      <c r="D9" s="19" t="inlineStr">
        <is>
          <t>Rasmus Neergaard-Petersen</t>
        </is>
      </c>
      <c r="E9" s="19" t="inlineStr">
        <is>
          <t>Kristoffer Reitan</t>
        </is>
      </c>
    </row>
    <row r="10">
      <c r="A10" s="19" t="inlineStr">
        <is>
          <t>Fifa Laopakdee (a)</t>
        </is>
      </c>
      <c r="B10" s="19" t="inlineStr">
        <is>
          <t>Mason Howell (a)</t>
        </is>
      </c>
      <c r="C10" s="19" t="inlineStr">
        <is>
          <t>Danny Willett</t>
        </is>
      </c>
      <c r="D10" s="19" t="inlineStr">
        <is>
          <t>Davis Riley</t>
        </is>
      </c>
      <c r="E10" s="19" t="inlineStr">
        <is>
          <t>Brian Campbell</t>
        </is>
      </c>
    </row>
    <row r="11">
      <c r="A11" s="19" t="inlineStr">
        <is>
          <t>Ethan Fang (a)</t>
        </is>
      </c>
      <c r="B11" s="19" t="inlineStr">
        <is>
          <t>Jackson Herrington (a)</t>
        </is>
      </c>
      <c r="C11" s="19" t="inlineStr">
        <is>
          <t>Naoyuki Kataoka</t>
        </is>
      </c>
      <c r="D11" s="19" t="inlineStr">
        <is>
          <t>Brandon Holtz (a)</t>
        </is>
      </c>
      <c r="E11" s="19" t="inlineStr">
        <is>
          <t>Mateo Pulcini (a)</t>
        </is>
      </c>
    </row>
    <row r="12" ht="15.75" customHeight="1" s="28" thickBot="1">
      <c r="A12" s="20" t="n"/>
      <c r="B12" s="20" t="n"/>
      <c r="C12" s="20" t="n"/>
      <c r="D12" s="20" t="n"/>
      <c r="E12" s="20" t="n"/>
    </row>
    <row r="13" ht="27" customHeight="1" s="28" thickTop="1">
      <c r="A13" s="17" t="inlineStr">
        <is>
          <t>Coulter</t>
        </is>
      </c>
      <c r="B13" s="17" t="inlineStr">
        <is>
          <t>Klooster</t>
        </is>
      </c>
      <c r="C13" s="17" t="inlineStr">
        <is>
          <t>Adam &amp; Kevin</t>
        </is>
      </c>
      <c r="D13" s="17" t="inlineStr">
        <is>
          <t>Asshole Garrett</t>
        </is>
      </c>
      <c r="E13" s="17" t="inlineStr">
        <is>
          <t>Cool Tony</t>
        </is>
      </c>
    </row>
    <row r="14" ht="29.25" customHeight="1" s="28" thickBot="1">
      <c r="A14" s="25" t="inlineStr">
        <is>
          <t>Team 6</t>
        </is>
      </c>
      <c r="B14" s="25" t="inlineStr">
        <is>
          <t>Team 7</t>
        </is>
      </c>
      <c r="C14" s="25" t="inlineStr">
        <is>
          <t>Team 8</t>
        </is>
      </c>
      <c r="D14" s="25" t="inlineStr">
        <is>
          <t>Team 9</t>
        </is>
      </c>
      <c r="E14" s="25" t="inlineStr">
        <is>
          <t>Team 10</t>
        </is>
      </c>
    </row>
    <row r="15" ht="15.75" customHeight="1" s="28" thickTop="1">
      <c r="A15" s="18">
        <f t="array" ref="A15:A23">_xlfn._xlws.FILTER(Draft_Import!$E$2:$E$200,TRIM(Draft_Import!$D$2:$D$200)=TRIM($A$13),"")</f>
        <v/>
      </c>
      <c r="B15" s="18">
        <f t="array" ref="B15:B23">_xlfn._xlws.FILTER(Draft_Import!$E$2:$E$200,TRIM(Draft_Import!$D$2:$D$200)=TRIM($B$13),"")</f>
        <v/>
      </c>
      <c r="C15" s="18">
        <f t="array" ref="C15:C23">_xlfn._xlws.FILTER(Draft_Import!$E$2:$E$200,TRIM(Draft_Import!$D$2:$D$200)=TRIM($C$13),"")</f>
        <v/>
      </c>
      <c r="D15" s="18">
        <f t="array" ref="D15:D23">_xlfn._xlws.FILTER(Draft_Import!$E$2:$E$200,TRIM(Draft_Import!$D$2:$D$200)=TRIM($D$13),"")</f>
        <v/>
      </c>
      <c r="E15" s="18">
        <f t="array" ref="E15:E24">_xlfn._xlws.FILTER(Draft_Import!$E$2:$E$200,TRIM(Draft_Import!$D$2:$D$200)=TRIM($E$13),"")</f>
        <v/>
      </c>
    </row>
    <row r="16">
      <c r="A16" s="19" t="inlineStr">
        <is>
          <t>Jordan Spieth</t>
        </is>
      </c>
      <c r="B16" s="19" t="inlineStr">
        <is>
          <t>Robert MacIntyre</t>
        </is>
      </c>
      <c r="C16" s="19" t="inlineStr">
        <is>
          <t>Patrick Reed</t>
        </is>
      </c>
      <c r="D16" s="19" t="inlineStr">
        <is>
          <t>Min Woo Lee</t>
        </is>
      </c>
      <c r="E16" s="19" t="inlineStr">
        <is>
          <t>Matt Fitzpatrick</t>
        </is>
      </c>
    </row>
    <row r="17">
      <c r="A17" s="19" t="inlineStr">
        <is>
          <t>Justin Thomas</t>
        </is>
      </c>
      <c r="B17" s="19" t="inlineStr">
        <is>
          <t>Nicolai Højgaard</t>
        </is>
      </c>
      <c r="C17" s="19" t="inlineStr">
        <is>
          <t>Cameron Smith</t>
        </is>
      </c>
      <c r="D17" s="19" t="inlineStr">
        <is>
          <t>Max Homa</t>
        </is>
      </c>
      <c r="E17" s="19" t="inlineStr">
        <is>
          <t>Viktor Hovland</t>
        </is>
      </c>
    </row>
    <row r="18">
      <c r="A18" s="19" t="inlineStr">
        <is>
          <t>Tyrrell Hatton</t>
        </is>
      </c>
      <c r="B18" s="19" t="inlineStr">
        <is>
          <t>Adam Scott</t>
        </is>
      </c>
      <c r="C18" s="19" t="inlineStr">
        <is>
          <t>Sepp Straka</t>
        </is>
      </c>
      <c r="D18" s="19" t="inlineStr">
        <is>
          <t>Sungjae Im</t>
        </is>
      </c>
      <c r="E18" s="19" t="inlineStr">
        <is>
          <t>Jason Day</t>
        </is>
      </c>
    </row>
    <row r="19">
      <c r="A19" s="19" t="inlineStr">
        <is>
          <t>Dustin Johnson</t>
        </is>
      </c>
      <c r="B19" s="19" t="inlineStr">
        <is>
          <t>Marco Penge</t>
        </is>
      </c>
      <c r="C19" s="19" t="inlineStr">
        <is>
          <t>Ryan Fox</t>
        </is>
      </c>
      <c r="D19" s="19" t="inlineStr">
        <is>
          <t>Rasmus Højgaard</t>
        </is>
      </c>
      <c r="E19" s="19" t="inlineStr">
        <is>
          <t>Gary Woodland</t>
        </is>
      </c>
    </row>
    <row r="20">
      <c r="A20" s="19" t="inlineStr">
        <is>
          <t>Nicolas Echavarria</t>
        </is>
      </c>
      <c r="B20" s="19" t="inlineStr">
        <is>
          <t>Wyndham Clark</t>
        </is>
      </c>
      <c r="C20" s="19" t="inlineStr">
        <is>
          <t>Ryan Gerard</t>
        </is>
      </c>
      <c r="D20" s="19" t="inlineStr">
        <is>
          <t>Brian Harman</t>
        </is>
      </c>
      <c r="E20" s="19" t="inlineStr">
        <is>
          <t>Samuel Stevens</t>
        </is>
      </c>
    </row>
    <row r="21">
      <c r="A21" s="19" t="inlineStr">
        <is>
          <t>Andrew Novak</t>
        </is>
      </c>
      <c r="B21" s="19" t="inlineStr">
        <is>
          <t>Michael Brennan</t>
        </is>
      </c>
      <c r="C21" s="19" t="inlineStr">
        <is>
          <t>Carlos Ortiz</t>
        </is>
      </c>
      <c r="D21" s="19" t="inlineStr">
        <is>
          <t>Zach Johnson</t>
        </is>
      </c>
      <c r="E21" s="19" t="inlineStr">
        <is>
          <t>Haotong Li</t>
        </is>
      </c>
    </row>
    <row r="22">
      <c r="A22" s="19" t="inlineStr">
        <is>
          <t>Sami Välimäki</t>
        </is>
      </c>
      <c r="B22" s="19" t="inlineStr">
        <is>
          <t>Charl Schwartzel</t>
        </is>
      </c>
      <c r="C22" s="19" t="inlineStr">
        <is>
          <t>John Keefer</t>
        </is>
      </c>
      <c r="D22" s="19" t="inlineStr">
        <is>
          <t>Bubba Watson</t>
        </is>
      </c>
      <c r="E22" s="19" t="inlineStr">
        <is>
          <t>Tom McKibbin</t>
        </is>
      </c>
    </row>
    <row r="23">
      <c r="A23" s="19" t="inlineStr">
        <is>
          <t>José María Olazábal</t>
        </is>
      </c>
      <c r="B23" s="19" t="inlineStr">
        <is>
          <t>Mike Weir</t>
        </is>
      </c>
      <c r="C23" s="19" t="inlineStr">
        <is>
          <t>Vijay Singh</t>
        </is>
      </c>
      <c r="D23" s="19" t="inlineStr">
        <is>
          <t>Ángel Cabrera</t>
        </is>
      </c>
      <c r="E23" s="19" t="inlineStr">
        <is>
          <t>Fred Couples</t>
        </is>
      </c>
    </row>
    <row r="24">
      <c r="A24" s="19" t="n"/>
      <c r="B24" s="19" t="n"/>
      <c r="C24" s="19" t="n"/>
      <c r="D24" s="19" t="n"/>
      <c r="E24" s="19" t="inlineStr">
        <is>
          <t>Sergio Garcia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L2" sqref="L2"/>
    </sheetView>
  </sheetViews>
  <sheetFormatPr baseColWidth="8" defaultRowHeight="15"/>
  <cols>
    <col width="11.140625" bestFit="1" customWidth="1" style="28" min="1" max="1"/>
    <col width="6.85546875" bestFit="1" customWidth="1" style="28" min="2" max="2"/>
    <col width="26.7109375" bestFit="1" customWidth="1" style="28" min="3" max="3"/>
    <col width="9" bestFit="1" customWidth="1" style="28" min="4" max="4"/>
    <col width="9.42578125" bestFit="1" customWidth="1" style="28" min="5" max="5"/>
    <col width="9" bestFit="1" customWidth="1" style="28" min="6" max="6"/>
    <col width="5.42578125" bestFit="1" customWidth="1" style="28" min="7" max="9"/>
    <col width="5.42578125" bestFit="1" customWidth="1" style="28" min="10" max="10"/>
    <col width="6.7109375" customWidth="1" style="28" min="11" max="11"/>
    <col width="12.5703125" bestFit="1" customWidth="1" style="28" min="12" max="12"/>
    <col width="12.28515625" bestFit="1" customWidth="1" style="28" min="13" max="13"/>
  </cols>
  <sheetData>
    <row r="1">
      <c r="A1" t="inlineStr">
        <is>
          <t>Column1</t>
        </is>
      </c>
      <c r="B1" t="inlineStr">
        <is>
          <t>POS</t>
        </is>
      </c>
      <c r="C1" t="inlineStr">
        <is>
          <t>PLAYER</t>
        </is>
      </c>
      <c r="D1" t="inlineStr">
        <is>
          <t>SCORE</t>
        </is>
      </c>
      <c r="E1" t="inlineStr">
        <is>
          <t>TODAY</t>
        </is>
      </c>
      <c r="F1" t="inlineStr">
        <is>
          <t>THRU</t>
        </is>
      </c>
      <c r="G1" t="inlineStr">
        <is>
          <t>R1</t>
        </is>
      </c>
      <c r="H1" t="inlineStr">
        <is>
          <t>R2</t>
        </is>
      </c>
      <c r="I1" t="inlineStr">
        <is>
          <t>R3</t>
        </is>
      </c>
      <c r="J1" t="inlineStr">
        <is>
          <t>R4</t>
        </is>
      </c>
      <c r="K1" t="inlineStr">
        <is>
          <t>TOT</t>
        </is>
      </c>
    </row>
    <row r="2">
      <c r="A2" t="inlineStr"/>
      <c r="B2" t="inlineStr">
        <is>
          <t>1</t>
        </is>
      </c>
      <c r="C2" t="inlineStr">
        <is>
          <t>Rory McIlroy</t>
        </is>
      </c>
      <c r="D2" t="inlineStr">
        <is>
          <t>-12</t>
        </is>
      </c>
      <c r="E2" t="inlineStr"/>
      <c r="F2" t="inlineStr"/>
      <c r="G2" t="inlineStr">
        <is>
          <t>67.0</t>
        </is>
      </c>
      <c r="H2" t="inlineStr">
        <is>
          <t>65.0</t>
        </is>
      </c>
      <c r="I2" t="inlineStr">
        <is>
          <t>73.0</t>
        </is>
      </c>
      <c r="J2" t="inlineStr">
        <is>
          <t>71.0</t>
        </is>
      </c>
      <c r="K2" t="inlineStr">
        <is>
          <t>21</t>
        </is>
      </c>
    </row>
    <row r="3">
      <c r="A3" t="inlineStr"/>
      <c r="B3" t="inlineStr">
        <is>
          <t>2</t>
        </is>
      </c>
      <c r="C3" t="inlineStr">
        <is>
          <t>Scottie Scheffler</t>
        </is>
      </c>
      <c r="D3" t="inlineStr">
        <is>
          <t>-11</t>
        </is>
      </c>
      <c r="E3" t="inlineStr"/>
      <c r="F3" t="inlineStr"/>
      <c r="G3" t="inlineStr">
        <is>
          <t>70.0</t>
        </is>
      </c>
      <c r="H3" t="inlineStr">
        <is>
          <t>74.0</t>
        </is>
      </c>
      <c r="I3" t="inlineStr">
        <is>
          <t>65.0</t>
        </is>
      </c>
      <c r="J3" t="inlineStr">
        <is>
          <t>68.0</t>
        </is>
      </c>
      <c r="K3" t="inlineStr">
        <is>
          <t>15</t>
        </is>
      </c>
    </row>
    <row r="4">
      <c r="A4" t="inlineStr"/>
      <c r="B4" t="inlineStr">
        <is>
          <t>3</t>
        </is>
      </c>
      <c r="C4" t="inlineStr">
        <is>
          <t>Tyrrell Hatton</t>
        </is>
      </c>
      <c r="D4" t="inlineStr">
        <is>
          <t>-10</t>
        </is>
      </c>
      <c r="E4" t="inlineStr"/>
      <c r="F4" t="inlineStr"/>
      <c r="G4" t="inlineStr">
        <is>
          <t>74.0</t>
        </is>
      </c>
      <c r="H4" t="inlineStr">
        <is>
          <t>66.0</t>
        </is>
      </c>
      <c r="I4" t="inlineStr">
        <is>
          <t>72.0</t>
        </is>
      </c>
      <c r="J4" t="inlineStr">
        <is>
          <t>66.0</t>
        </is>
      </c>
      <c r="K4" t="inlineStr">
        <is>
          <t>12</t>
        </is>
      </c>
    </row>
    <row r="5">
      <c r="A5" t="inlineStr"/>
      <c r="B5" t="inlineStr">
        <is>
          <t>4</t>
        </is>
      </c>
      <c r="C5" t="inlineStr">
        <is>
          <t>Russell Henley</t>
        </is>
      </c>
      <c r="D5" t="inlineStr">
        <is>
          <t>-10</t>
        </is>
      </c>
      <c r="E5" t="inlineStr"/>
      <c r="F5" t="inlineStr"/>
      <c r="G5" t="inlineStr">
        <is>
          <t>73.0</t>
        </is>
      </c>
      <c r="H5" t="inlineStr">
        <is>
          <t>71.0</t>
        </is>
      </c>
      <c r="I5" t="inlineStr">
        <is>
          <t>66.0</t>
        </is>
      </c>
      <c r="J5" t="inlineStr">
        <is>
          <t>68.0</t>
        </is>
      </c>
      <c r="K5" t="inlineStr">
        <is>
          <t>20</t>
        </is>
      </c>
    </row>
    <row r="6">
      <c r="A6" t="inlineStr"/>
      <c r="B6" t="inlineStr">
        <is>
          <t>5</t>
        </is>
      </c>
      <c r="C6" t="inlineStr">
        <is>
          <t>Justin Rose</t>
        </is>
      </c>
      <c r="D6" t="inlineStr">
        <is>
          <t>-10</t>
        </is>
      </c>
      <c r="E6" t="inlineStr"/>
      <c r="F6" t="inlineStr"/>
      <c r="G6" t="inlineStr">
        <is>
          <t>70.0</t>
        </is>
      </c>
      <c r="H6" t="inlineStr">
        <is>
          <t>69.0</t>
        </is>
      </c>
      <c r="I6" t="inlineStr">
        <is>
          <t>69.0</t>
        </is>
      </c>
      <c r="J6" t="inlineStr">
        <is>
          <t>70.0</t>
        </is>
      </c>
      <c r="K6" t="inlineStr">
        <is>
          <t>20</t>
        </is>
      </c>
    </row>
    <row r="7">
      <c r="A7" t="inlineStr"/>
      <c r="B7" t="inlineStr">
        <is>
          <t>6</t>
        </is>
      </c>
      <c r="C7" t="inlineStr">
        <is>
          <t>Cameron Young</t>
        </is>
      </c>
      <c r="D7" t="inlineStr">
        <is>
          <t>-10</t>
        </is>
      </c>
      <c r="E7" t="inlineStr"/>
      <c r="F7" t="inlineStr"/>
      <c r="G7" t="inlineStr">
        <is>
          <t>73.0</t>
        </is>
      </c>
      <c r="H7" t="inlineStr">
        <is>
          <t>67.0</t>
        </is>
      </c>
      <c r="I7" t="inlineStr">
        <is>
          <t>65.0</t>
        </is>
      </c>
      <c r="J7" t="inlineStr">
        <is>
          <t>73.0</t>
        </is>
      </c>
      <c r="K7" t="inlineStr">
        <is>
          <t>20</t>
        </is>
      </c>
    </row>
    <row r="8">
      <c r="A8" t="inlineStr"/>
      <c r="B8" t="inlineStr">
        <is>
          <t>7</t>
        </is>
      </c>
      <c r="C8" t="inlineStr">
        <is>
          <t>Collin Morikawa</t>
        </is>
      </c>
      <c r="D8" t="inlineStr">
        <is>
          <t>-9</t>
        </is>
      </c>
      <c r="E8" t="inlineStr"/>
      <c r="F8" t="inlineStr"/>
      <c r="G8" t="inlineStr">
        <is>
          <t>74.0</t>
        </is>
      </c>
      <c r="H8" t="inlineStr">
        <is>
          <t>69.0</t>
        </is>
      </c>
      <c r="I8" t="inlineStr">
        <is>
          <t>68.0</t>
        </is>
      </c>
      <c r="J8" t="inlineStr">
        <is>
          <t>68.0</t>
        </is>
      </c>
      <c r="K8" t="inlineStr">
        <is>
          <t>16</t>
        </is>
      </c>
    </row>
    <row r="9">
      <c r="A9" t="inlineStr"/>
      <c r="B9" t="inlineStr">
        <is>
          <t>8</t>
        </is>
      </c>
      <c r="C9" t="inlineStr">
        <is>
          <t>Sam Burns</t>
        </is>
      </c>
      <c r="D9" t="inlineStr">
        <is>
          <t>-9</t>
        </is>
      </c>
      <c r="E9" t="inlineStr"/>
      <c r="F9" t="inlineStr"/>
      <c r="G9" t="inlineStr">
        <is>
          <t>67.0</t>
        </is>
      </c>
      <c r="H9" t="inlineStr">
        <is>
          <t>71.0</t>
        </is>
      </c>
      <c r="I9" t="inlineStr">
        <is>
          <t>68.0</t>
        </is>
      </c>
      <c r="J9" t="inlineStr">
        <is>
          <t>73.0</t>
        </is>
      </c>
      <c r="K9" t="inlineStr">
        <is>
          <t>16</t>
        </is>
      </c>
    </row>
    <row r="10">
      <c r="A10" t="inlineStr"/>
      <c r="B10" t="inlineStr">
        <is>
          <t>9</t>
        </is>
      </c>
      <c r="C10" t="inlineStr">
        <is>
          <t>Max Homa</t>
        </is>
      </c>
      <c r="D10" t="inlineStr">
        <is>
          <t>-8</t>
        </is>
      </c>
      <c r="E10" t="inlineStr"/>
      <c r="F10" t="inlineStr"/>
      <c r="G10" t="inlineStr">
        <is>
          <t>72.0</t>
        </is>
      </c>
      <c r="H10" t="inlineStr">
        <is>
          <t>70.0</t>
        </is>
      </c>
      <c r="I10" t="inlineStr">
        <is>
          <t>71.0</t>
        </is>
      </c>
      <c r="J10" t="inlineStr">
        <is>
          <t>67.0</t>
        </is>
      </c>
      <c r="K10" t="inlineStr">
        <is>
          <t>16</t>
        </is>
      </c>
    </row>
    <row r="11">
      <c r="A11" t="inlineStr"/>
      <c r="B11" t="inlineStr">
        <is>
          <t>10</t>
        </is>
      </c>
      <c r="C11" t="inlineStr">
        <is>
          <t>Xander Schauffele</t>
        </is>
      </c>
      <c r="D11" t="inlineStr">
        <is>
          <t>-8</t>
        </is>
      </c>
      <c r="E11" t="inlineStr"/>
      <c r="F11" t="inlineStr"/>
      <c r="G11" t="inlineStr">
        <is>
          <t>70.0</t>
        </is>
      </c>
      <c r="H11" t="inlineStr">
        <is>
          <t>72.0</t>
        </is>
      </c>
      <c r="I11" t="inlineStr">
        <is>
          <t>70.0</t>
        </is>
      </c>
      <c r="J11" t="inlineStr">
        <is>
          <t>68.0</t>
        </is>
      </c>
      <c r="K11" t="inlineStr">
        <is>
          <t>9</t>
        </is>
      </c>
    </row>
    <row r="12">
      <c r="A12" t="inlineStr"/>
      <c r="B12" t="inlineStr">
        <is>
          <t>11</t>
        </is>
      </c>
      <c r="C12" t="inlineStr">
        <is>
          <t>Jake Knapp</t>
        </is>
      </c>
      <c r="D12" t="inlineStr">
        <is>
          <t>-7</t>
        </is>
      </c>
      <c r="E12" t="inlineStr"/>
      <c r="F12" t="inlineStr"/>
      <c r="G12" t="inlineStr">
        <is>
          <t>73.0</t>
        </is>
      </c>
      <c r="H12" t="inlineStr">
        <is>
          <t>69.0</t>
        </is>
      </c>
      <c r="I12" t="inlineStr">
        <is>
          <t>69.0</t>
        </is>
      </c>
      <c r="J12" t="inlineStr">
        <is>
          <t>70.0</t>
        </is>
      </c>
      <c r="K12" t="inlineStr">
        <is>
          <t>4</t>
        </is>
      </c>
    </row>
    <row r="13">
      <c r="A13" t="inlineStr"/>
      <c r="B13" t="inlineStr">
        <is>
          <t>12</t>
        </is>
      </c>
      <c r="C13" t="inlineStr">
        <is>
          <t>Jordan Spieth</t>
        </is>
      </c>
      <c r="D13" t="inlineStr">
        <is>
          <t>-5</t>
        </is>
      </c>
      <c r="E13" t="inlineStr"/>
      <c r="F13" t="inlineStr"/>
      <c r="G13" t="inlineStr">
        <is>
          <t>72.0</t>
        </is>
      </c>
      <c r="H13" t="inlineStr">
        <is>
          <t>73.0</t>
        </is>
      </c>
      <c r="I13" t="inlineStr">
        <is>
          <t>70.0</t>
        </is>
      </c>
      <c r="J13" t="inlineStr">
        <is>
          <t>68.0</t>
        </is>
      </c>
      <c r="K13" t="inlineStr">
        <is>
          <t>4</t>
        </is>
      </c>
    </row>
    <row r="14">
      <c r="A14" t="inlineStr"/>
      <c r="B14" t="inlineStr">
        <is>
          <t>13</t>
        </is>
      </c>
      <c r="C14" t="inlineStr">
        <is>
          <t>Hideki Matsuyama</t>
        </is>
      </c>
      <c r="D14" t="inlineStr">
        <is>
          <t>-5</t>
        </is>
      </c>
      <c r="E14" t="inlineStr"/>
      <c r="F14" t="inlineStr"/>
      <c r="G14" t="inlineStr">
        <is>
          <t>72.0</t>
        </is>
      </c>
      <c r="H14" t="inlineStr">
        <is>
          <t>70.0</t>
        </is>
      </c>
      <c r="I14" t="inlineStr">
        <is>
          <t>72.0</t>
        </is>
      </c>
      <c r="J14" t="inlineStr">
        <is>
          <t>69.0</t>
        </is>
      </c>
      <c r="K14" t="inlineStr">
        <is>
          <t>4</t>
        </is>
      </c>
    </row>
    <row r="15">
      <c r="A15" t="inlineStr"/>
      <c r="B15" t="inlineStr">
        <is>
          <t>14</t>
        </is>
      </c>
      <c r="C15" t="inlineStr">
        <is>
          <t>Brooks Koepka</t>
        </is>
      </c>
      <c r="D15" t="inlineStr">
        <is>
          <t>-5</t>
        </is>
      </c>
      <c r="E15" t="inlineStr"/>
      <c r="F15" t="inlineStr"/>
      <c r="G15" t="inlineStr">
        <is>
          <t>72.0</t>
        </is>
      </c>
      <c r="H15" t="inlineStr">
        <is>
          <t>69.0</t>
        </is>
      </c>
      <c r="I15" t="inlineStr">
        <is>
          <t>71.0</t>
        </is>
      </c>
      <c r="J15" t="inlineStr">
        <is>
          <t>71.0</t>
        </is>
      </c>
      <c r="K15" t="inlineStr">
        <is>
          <t>33</t>
        </is>
      </c>
    </row>
    <row r="16">
      <c r="A16" t="inlineStr"/>
      <c r="B16" t="inlineStr">
        <is>
          <t>15</t>
        </is>
      </c>
      <c r="C16" t="inlineStr">
        <is>
          <t>Patrick Cantlay</t>
        </is>
      </c>
      <c r="D16" t="inlineStr">
        <is>
          <t>-5</t>
        </is>
      </c>
      <c r="E16" t="inlineStr"/>
      <c r="F16" t="inlineStr"/>
      <c r="G16" t="inlineStr">
        <is>
          <t>77.0</t>
        </is>
      </c>
      <c r="H16" t="inlineStr">
        <is>
          <t>67.0</t>
        </is>
      </c>
      <c r="I16" t="inlineStr">
        <is>
          <t>66.0</t>
        </is>
      </c>
      <c r="J16" t="inlineStr">
        <is>
          <t>73.0</t>
        </is>
      </c>
      <c r="K16" t="inlineStr">
        <is>
          <t>28</t>
        </is>
      </c>
    </row>
    <row r="17">
      <c r="A17" t="inlineStr"/>
      <c r="B17" t="inlineStr">
        <is>
          <t>16</t>
        </is>
      </c>
      <c r="C17" t="inlineStr">
        <is>
          <t>Patrick Reed</t>
        </is>
      </c>
      <c r="D17" t="inlineStr">
        <is>
          <t>-5</t>
        </is>
      </c>
      <c r="E17" t="inlineStr"/>
      <c r="F17" t="inlineStr"/>
      <c r="G17" t="inlineStr">
        <is>
          <t>69.0</t>
        </is>
      </c>
      <c r="H17" t="inlineStr">
        <is>
          <t>69.0</t>
        </is>
      </c>
      <c r="I17" t="inlineStr">
        <is>
          <t>72.0</t>
        </is>
      </c>
      <c r="J17" t="inlineStr">
        <is>
          <t>73.0</t>
        </is>
      </c>
      <c r="K17" t="inlineStr">
        <is>
          <t>24</t>
        </is>
      </c>
    </row>
    <row r="18">
      <c r="A18" t="inlineStr"/>
      <c r="B18" t="inlineStr">
        <is>
          <t>17</t>
        </is>
      </c>
      <c r="C18" t="inlineStr">
        <is>
          <t>Jason Day</t>
        </is>
      </c>
      <c r="D18" t="inlineStr">
        <is>
          <t>-5</t>
        </is>
      </c>
      <c r="E18" t="inlineStr"/>
      <c r="F18" t="inlineStr"/>
      <c r="G18" t="inlineStr">
        <is>
          <t>69.0</t>
        </is>
      </c>
      <c r="H18" t="inlineStr">
        <is>
          <t>71.0</t>
        </is>
      </c>
      <c r="I18" t="inlineStr">
        <is>
          <t>68.0</t>
        </is>
      </c>
      <c r="J18" t="inlineStr">
        <is>
          <t>75.0</t>
        </is>
      </c>
      <c r="K18" t="inlineStr">
        <is>
          <t>21</t>
        </is>
      </c>
    </row>
    <row r="19">
      <c r="A19" t="inlineStr"/>
      <c r="B19" t="inlineStr">
        <is>
          <t>18</t>
        </is>
      </c>
      <c r="C19" t="inlineStr">
        <is>
          <t>Maverick McNealy</t>
        </is>
      </c>
      <c r="D19" t="inlineStr">
        <is>
          <t>-4</t>
        </is>
      </c>
      <c r="E19" t="inlineStr"/>
      <c r="F19" t="inlineStr"/>
      <c r="G19" t="inlineStr">
        <is>
          <t>77.0</t>
        </is>
      </c>
      <c r="H19" t="inlineStr">
        <is>
          <t>70.0</t>
        </is>
      </c>
      <c r="I19" t="inlineStr">
        <is>
          <t>70.0</t>
        </is>
      </c>
      <c r="J19" t="inlineStr">
        <is>
          <t>67.0</t>
        </is>
      </c>
      <c r="K19" t="inlineStr">
        <is>
          <t>21</t>
        </is>
      </c>
    </row>
    <row r="20">
      <c r="A20" t="inlineStr"/>
      <c r="B20" t="inlineStr">
        <is>
          <t>19</t>
        </is>
      </c>
      <c r="C20" t="inlineStr">
        <is>
          <t>Viktor Hovland</t>
        </is>
      </c>
      <c r="D20" t="inlineStr">
        <is>
          <t>-4</t>
        </is>
      </c>
      <c r="E20" t="inlineStr"/>
      <c r="F20" t="inlineStr"/>
      <c r="G20" t="inlineStr">
        <is>
          <t>75.0</t>
        </is>
      </c>
      <c r="H20" t="inlineStr">
        <is>
          <t>71.0</t>
        </is>
      </c>
      <c r="I20" t="inlineStr">
        <is>
          <t>71.0</t>
        </is>
      </c>
      <c r="J20" t="inlineStr">
        <is>
          <t>67.0</t>
        </is>
      </c>
      <c r="K20" t="inlineStr">
        <is>
          <t>17</t>
        </is>
      </c>
    </row>
    <row r="21">
      <c r="A21" t="inlineStr"/>
      <c r="B21" t="inlineStr">
        <is>
          <t>20</t>
        </is>
      </c>
      <c r="C21" t="inlineStr">
        <is>
          <t>Matt Fitzpatrick</t>
        </is>
      </c>
      <c r="D21" t="inlineStr">
        <is>
          <t>-4</t>
        </is>
      </c>
      <c r="E21" t="inlineStr"/>
      <c r="F21" t="inlineStr"/>
      <c r="G21" t="inlineStr">
        <is>
          <t>74.0</t>
        </is>
      </c>
      <c r="H21" t="inlineStr">
        <is>
          <t>69.0</t>
        </is>
      </c>
      <c r="I21" t="inlineStr">
        <is>
          <t>70.0</t>
        </is>
      </c>
      <c r="J21" t="inlineStr">
        <is>
          <t>71.0</t>
        </is>
      </c>
      <c r="K21" t="inlineStr">
        <is>
          <t>14</t>
        </is>
      </c>
    </row>
    <row r="22">
      <c r="A22" t="inlineStr"/>
      <c r="B22" t="inlineStr">
        <is>
          <t>21</t>
        </is>
      </c>
      <c r="C22" t="inlineStr">
        <is>
          <t>Keegan Bradley</t>
        </is>
      </c>
      <c r="D22" t="inlineStr">
        <is>
          <t>-3</t>
        </is>
      </c>
      <c r="E22" t="inlineStr"/>
      <c r="F22" t="inlineStr"/>
      <c r="G22" t="inlineStr">
        <is>
          <t>72.0</t>
        </is>
      </c>
      <c r="H22" t="inlineStr">
        <is>
          <t>74.0</t>
        </is>
      </c>
      <c r="I22" t="inlineStr">
        <is>
          <t>73.0</t>
        </is>
      </c>
      <c r="J22" t="inlineStr">
        <is>
          <t>66.0</t>
        </is>
      </c>
      <c r="K22" t="inlineStr">
        <is>
          <t>10</t>
        </is>
      </c>
    </row>
    <row r="23">
      <c r="A23" t="inlineStr"/>
      <c r="B23" t="inlineStr">
        <is>
          <t>22</t>
        </is>
      </c>
      <c r="C23" t="inlineStr">
        <is>
          <t>Ludvig Åberg</t>
        </is>
      </c>
      <c r="D23" t="inlineStr">
        <is>
          <t>-3</t>
        </is>
      </c>
      <c r="E23" t="inlineStr"/>
      <c r="F23" t="inlineStr"/>
      <c r="G23" t="inlineStr">
        <is>
          <t>74.0</t>
        </is>
      </c>
      <c r="H23" t="inlineStr">
        <is>
          <t>70.0</t>
        </is>
      </c>
      <c r="I23" t="inlineStr">
        <is>
          <t>69.0</t>
        </is>
      </c>
      <c r="J23" t="inlineStr">
        <is>
          <t>72.0</t>
        </is>
      </c>
      <c r="K23" t="inlineStr">
        <is>
          <t>5</t>
        </is>
      </c>
    </row>
    <row r="24">
      <c r="A24" t="inlineStr"/>
      <c r="B24" t="inlineStr">
        <is>
          <t>23</t>
        </is>
      </c>
      <c r="C24" t="inlineStr">
        <is>
          <t>Wyndham Clark</t>
        </is>
      </c>
      <c r="D24" t="inlineStr">
        <is>
          <t>-3</t>
        </is>
      </c>
      <c r="E24" t="inlineStr"/>
      <c r="F24" t="inlineStr"/>
      <c r="G24" t="inlineStr">
        <is>
          <t>72.0</t>
        </is>
      </c>
      <c r="H24" t="inlineStr">
        <is>
          <t>68.0</t>
        </is>
      </c>
      <c r="I24" t="inlineStr">
        <is>
          <t>72.0</t>
        </is>
      </c>
      <c r="J24" t="inlineStr">
        <is>
          <t>73.0</t>
        </is>
      </c>
      <c r="K24" t="inlineStr">
        <is>
          <t>5</t>
        </is>
      </c>
    </row>
    <row r="25">
      <c r="A25" t="inlineStr"/>
      <c r="B25" t="inlineStr">
        <is>
          <t>24</t>
        </is>
      </c>
      <c r="C25" t="inlineStr">
        <is>
          <t>Matt McCarty</t>
        </is>
      </c>
      <c r="D25" t="inlineStr">
        <is>
          <t>-2</t>
        </is>
      </c>
      <c r="E25" t="inlineStr"/>
      <c r="F25" t="inlineStr"/>
      <c r="G25" t="inlineStr">
        <is>
          <t>72.0</t>
        </is>
      </c>
      <c r="H25" t="inlineStr">
        <is>
          <t>73.0</t>
        </is>
      </c>
      <c r="I25" t="inlineStr">
        <is>
          <t>72.0</t>
        </is>
      </c>
      <c r="J25" t="inlineStr">
        <is>
          <t>69.0</t>
        </is>
      </c>
      <c r="K25" t="inlineStr">
        <is>
          <t>5</t>
        </is>
      </c>
    </row>
    <row r="26">
      <c r="A26" t="inlineStr"/>
      <c r="B26" t="inlineStr">
        <is>
          <t>25</t>
        </is>
      </c>
      <c r="C26" t="inlineStr">
        <is>
          <t>Adam Scott</t>
        </is>
      </c>
      <c r="D26" t="inlineStr">
        <is>
          <t>-2</t>
        </is>
      </c>
      <c r="E26" t="inlineStr"/>
      <c r="F26" t="inlineStr"/>
      <c r="G26" t="inlineStr">
        <is>
          <t>72.0</t>
        </is>
      </c>
      <c r="H26" t="inlineStr">
        <is>
          <t>74.0</t>
        </is>
      </c>
      <c r="I26" t="inlineStr">
        <is>
          <t>70.0</t>
        </is>
      </c>
      <c r="J26" t="inlineStr">
        <is>
          <t>70.0</t>
        </is>
      </c>
      <c r="K26" t="inlineStr">
        <is>
          <t>34</t>
        </is>
      </c>
    </row>
    <row r="27">
      <c r="A27" t="inlineStr"/>
      <c r="B27" t="inlineStr">
        <is>
          <t>26</t>
        </is>
      </c>
      <c r="C27" t="inlineStr">
        <is>
          <t>Sam Stevens</t>
        </is>
      </c>
      <c r="D27" t="inlineStr">
        <is>
          <t>-2</t>
        </is>
      </c>
      <c r="E27" t="inlineStr"/>
      <c r="F27" t="inlineStr"/>
      <c r="G27" t="inlineStr">
        <is>
          <t>72.0</t>
        </is>
      </c>
      <c r="H27" t="inlineStr">
        <is>
          <t>74.0</t>
        </is>
      </c>
      <c r="I27" t="inlineStr">
        <is>
          <t>70.0</t>
        </is>
      </c>
      <c r="J27" t="inlineStr">
        <is>
          <t>70.0</t>
        </is>
      </c>
      <c r="K27" t="inlineStr">
        <is>
          <t>30</t>
        </is>
      </c>
    </row>
    <row r="28">
      <c r="A28" t="inlineStr"/>
      <c r="B28" t="inlineStr">
        <is>
          <t>27</t>
        </is>
      </c>
      <c r="C28" t="inlineStr">
        <is>
          <t>Brian Campbell</t>
        </is>
      </c>
      <c r="D28" t="inlineStr">
        <is>
          <t>-2</t>
        </is>
      </c>
      <c r="E28" t="inlineStr"/>
      <c r="F28" t="inlineStr"/>
      <c r="G28" t="inlineStr">
        <is>
          <t>71.0</t>
        </is>
      </c>
      <c r="H28" t="inlineStr">
        <is>
          <t>73.0</t>
        </is>
      </c>
      <c r="I28" t="inlineStr">
        <is>
          <t>69.0</t>
        </is>
      </c>
      <c r="J28" t="inlineStr">
        <is>
          <t>73.0</t>
        </is>
      </c>
      <c r="K28" t="inlineStr">
        <is>
          <t>23</t>
        </is>
      </c>
    </row>
    <row r="29">
      <c r="A29" t="inlineStr"/>
      <c r="B29" t="inlineStr">
        <is>
          <t>28</t>
        </is>
      </c>
      <c r="C29" t="inlineStr">
        <is>
          <t>Michael Brennan</t>
        </is>
      </c>
      <c r="D29" t="inlineStr">
        <is>
          <t>-2</t>
        </is>
      </c>
      <c r="E29" t="inlineStr"/>
      <c r="F29" t="inlineStr"/>
      <c r="G29" t="inlineStr">
        <is>
          <t>72.0</t>
        </is>
      </c>
      <c r="H29" t="inlineStr">
        <is>
          <t>71.0</t>
        </is>
      </c>
      <c r="I29" t="inlineStr">
        <is>
          <t>70.0</t>
        </is>
      </c>
      <c r="J29" t="inlineStr">
        <is>
          <t>73.0</t>
        </is>
      </c>
      <c r="K29" t="inlineStr">
        <is>
          <t>27</t>
        </is>
      </c>
    </row>
    <row r="30">
      <c r="A30" t="inlineStr"/>
      <c r="B30" t="inlineStr">
        <is>
          <t>29</t>
        </is>
      </c>
      <c r="C30" t="inlineStr">
        <is>
          <t>Chris Gotterup</t>
        </is>
      </c>
      <c r="D30" t="inlineStr">
        <is>
          <t>-2</t>
        </is>
      </c>
      <c r="E30" t="inlineStr"/>
      <c r="F30" t="inlineStr"/>
      <c r="G30" t="inlineStr">
        <is>
          <t>72.0</t>
        </is>
      </c>
      <c r="H30" t="inlineStr">
        <is>
          <t>69.0</t>
        </is>
      </c>
      <c r="I30" t="inlineStr">
        <is>
          <t>72.0</t>
        </is>
      </c>
      <c r="J30" t="inlineStr">
        <is>
          <t>73.0</t>
        </is>
      </c>
      <c r="K30" t="inlineStr">
        <is>
          <t>34</t>
        </is>
      </c>
    </row>
    <row r="31">
      <c r="A31" t="inlineStr"/>
      <c r="B31" t="inlineStr">
        <is>
          <t>30</t>
        </is>
      </c>
      <c r="C31" t="inlineStr">
        <is>
          <t>Alex Noren</t>
        </is>
      </c>
      <c r="D31" t="inlineStr">
        <is>
          <t>-1</t>
        </is>
      </c>
      <c r="E31" t="inlineStr"/>
      <c r="F31" t="inlineStr"/>
      <c r="G31" t="inlineStr">
        <is>
          <t>77.0</t>
        </is>
      </c>
      <c r="H31" t="inlineStr">
        <is>
          <t>71.0</t>
        </is>
      </c>
      <c r="I31" t="inlineStr">
        <is>
          <t>69.0</t>
        </is>
      </c>
      <c r="J31" t="inlineStr">
        <is>
          <t>70.0</t>
        </is>
      </c>
      <c r="K31" t="inlineStr">
        <is>
          <t>--</t>
        </is>
      </c>
    </row>
    <row r="32">
      <c r="A32" t="inlineStr"/>
      <c r="B32" t="inlineStr">
        <is>
          <t>31</t>
        </is>
      </c>
      <c r="C32" t="inlineStr">
        <is>
          <t>Harris English</t>
        </is>
      </c>
      <c r="D32" t="inlineStr">
        <is>
          <t>-1</t>
        </is>
      </c>
      <c r="E32" t="inlineStr"/>
      <c r="F32" t="inlineStr"/>
      <c r="G32" t="inlineStr">
        <is>
          <t>73.0</t>
        </is>
      </c>
      <c r="H32" t="inlineStr">
        <is>
          <t>71.0</t>
        </is>
      </c>
      <c r="I32" t="inlineStr">
        <is>
          <t>71.0</t>
        </is>
      </c>
      <c r="J32" t="inlineStr">
        <is>
          <t>72.0</t>
        </is>
      </c>
      <c r="K32" t="inlineStr">
        <is>
          <t>--</t>
        </is>
      </c>
    </row>
    <row r="33">
      <c r="A33" t="inlineStr"/>
      <c r="B33" t="inlineStr">
        <is>
          <t>32</t>
        </is>
      </c>
      <c r="C33" t="inlineStr">
        <is>
          <t>Shane Lowry</t>
        </is>
      </c>
      <c r="D33" t="inlineStr">
        <is>
          <t>-1</t>
        </is>
      </c>
      <c r="E33" t="inlineStr"/>
      <c r="F33" t="inlineStr"/>
      <c r="G33" t="inlineStr">
        <is>
          <t>70.0</t>
        </is>
      </c>
      <c r="H33" t="inlineStr">
        <is>
          <t>69.0</t>
        </is>
      </c>
      <c r="I33" t="inlineStr">
        <is>
          <t>68.0</t>
        </is>
      </c>
      <c r="J33" t="inlineStr">
        <is>
          <t>80.0</t>
        </is>
      </c>
      <c r="K33" t="inlineStr">
        <is>
          <t>--</t>
        </is>
      </c>
    </row>
    <row r="34">
      <c r="A34" t="inlineStr"/>
      <c r="B34" t="inlineStr">
        <is>
          <t>33</t>
        </is>
      </c>
      <c r="C34" t="inlineStr">
        <is>
          <t>Gary Woodland</t>
        </is>
      </c>
      <c r="D34" t="inlineStr">
        <is>
          <t>E</t>
        </is>
      </c>
      <c r="E34" t="inlineStr"/>
      <c r="F34" t="inlineStr"/>
      <c r="G34" t="inlineStr">
        <is>
          <t>71.0</t>
        </is>
      </c>
      <c r="H34" t="inlineStr">
        <is>
          <t>75.0</t>
        </is>
      </c>
      <c r="I34" t="inlineStr">
        <is>
          <t>76.0</t>
        </is>
      </c>
      <c r="J34" t="inlineStr">
        <is>
          <t>66.0</t>
        </is>
      </c>
      <c r="K34" t="inlineStr">
        <is>
          <t>--</t>
        </is>
      </c>
    </row>
    <row r="35">
      <c r="A35" t="inlineStr"/>
      <c r="B35" t="inlineStr">
        <is>
          <t>34</t>
        </is>
      </c>
      <c r="C35" t="inlineStr">
        <is>
          <t>Dustin Johnson</t>
        </is>
      </c>
      <c r="D35" t="inlineStr">
        <is>
          <t>E</t>
        </is>
      </c>
      <c r="E35" t="inlineStr"/>
      <c r="F35" t="inlineStr"/>
      <c r="G35" t="inlineStr">
        <is>
          <t>73.0</t>
        </is>
      </c>
      <c r="H35" t="inlineStr">
        <is>
          <t>71.0</t>
        </is>
      </c>
      <c r="I35" t="inlineStr">
        <is>
          <t>75.0</t>
        </is>
      </c>
      <c r="J35" t="inlineStr">
        <is>
          <t>69.0</t>
        </is>
      </c>
      <c r="K35" t="inlineStr">
        <is>
          <t>--</t>
        </is>
      </c>
    </row>
    <row r="36">
      <c r="A36" t="inlineStr"/>
      <c r="B36" t="inlineStr">
        <is>
          <t>35</t>
        </is>
      </c>
      <c r="C36" t="inlineStr">
        <is>
          <t>Brian Harman</t>
        </is>
      </c>
      <c r="D36" t="inlineStr">
        <is>
          <t>E</t>
        </is>
      </c>
      <c r="E36" t="inlineStr"/>
      <c r="F36" t="inlineStr"/>
      <c r="G36" t="inlineStr">
        <is>
          <t>79.0</t>
        </is>
      </c>
      <c r="H36" t="inlineStr">
        <is>
          <t>69.0</t>
        </is>
      </c>
      <c r="I36" t="inlineStr">
        <is>
          <t>67.0</t>
        </is>
      </c>
      <c r="J36" t="inlineStr">
        <is>
          <t>73.0</t>
        </is>
      </c>
      <c r="K36" t="inlineStr">
        <is>
          <t>--</t>
        </is>
      </c>
    </row>
    <row r="37">
      <c r="A37" t="inlineStr"/>
      <c r="B37" t="inlineStr">
        <is>
          <t>36</t>
        </is>
      </c>
      <c r="C37" t="inlineStr">
        <is>
          <t>Tommy Fleetwood</t>
        </is>
      </c>
      <c r="D37" t="inlineStr">
        <is>
          <t>E</t>
        </is>
      </c>
      <c r="E37" t="inlineStr"/>
      <c r="F37" t="inlineStr"/>
      <c r="G37" t="inlineStr">
        <is>
          <t>71.0</t>
        </is>
      </c>
      <c r="H37" t="inlineStr">
        <is>
          <t>68.0</t>
        </is>
      </c>
      <c r="I37" t="inlineStr">
        <is>
          <t>73.0</t>
        </is>
      </c>
      <c r="J37" t="inlineStr">
        <is>
          <t>76.0</t>
        </is>
      </c>
      <c r="K37" t="inlineStr">
        <is>
          <t>--</t>
        </is>
      </c>
    </row>
    <row r="38">
      <c r="A38" t="inlineStr"/>
      <c r="B38" t="inlineStr">
        <is>
          <t>37</t>
        </is>
      </c>
      <c r="C38" t="inlineStr">
        <is>
          <t>Ben Griffin</t>
        </is>
      </c>
      <c r="D38" t="inlineStr">
        <is>
          <t>E</t>
        </is>
      </c>
      <c r="E38" t="inlineStr"/>
      <c r="F38" t="inlineStr"/>
      <c r="G38" t="inlineStr">
        <is>
          <t>72.0</t>
        </is>
      </c>
      <c r="H38" t="inlineStr">
        <is>
          <t>69.0</t>
        </is>
      </c>
      <c r="I38" t="inlineStr">
        <is>
          <t>70.0</t>
        </is>
      </c>
      <c r="J38" t="inlineStr">
        <is>
          <t>77.0</t>
        </is>
      </c>
      <c r="K38" t="inlineStr">
        <is>
          <t>--</t>
        </is>
      </c>
    </row>
    <row r="39">
      <c r="A39" t="inlineStr"/>
      <c r="B39" t="inlineStr">
        <is>
          <t>38</t>
        </is>
      </c>
      <c r="C39" t="inlineStr">
        <is>
          <t>Jon Rahm</t>
        </is>
      </c>
      <c r="D39" t="inlineStr">
        <is>
          <t>+1</t>
        </is>
      </c>
      <c r="E39" t="inlineStr"/>
      <c r="F39" t="inlineStr"/>
      <c r="G39" t="inlineStr">
        <is>
          <t>78.0</t>
        </is>
      </c>
      <c r="H39" t="inlineStr">
        <is>
          <t>70.0</t>
        </is>
      </c>
      <c r="I39" t="inlineStr">
        <is>
          <t>73.0</t>
        </is>
      </c>
      <c r="J39" t="inlineStr">
        <is>
          <t>68.0</t>
        </is>
      </c>
      <c r="K39" t="inlineStr">
        <is>
          <t>--</t>
        </is>
      </c>
    </row>
    <row r="40">
      <c r="A40" t="inlineStr"/>
      <c r="B40" t="inlineStr">
        <is>
          <t>39</t>
        </is>
      </c>
      <c r="C40" t="inlineStr">
        <is>
          <t>Ryan Gerard</t>
        </is>
      </c>
      <c r="D40" t="inlineStr">
        <is>
          <t>+1</t>
        </is>
      </c>
      <c r="E40" t="inlineStr"/>
      <c r="F40" t="inlineStr"/>
      <c r="G40" t="inlineStr">
        <is>
          <t>72.0</t>
        </is>
      </c>
      <c r="H40" t="inlineStr">
        <is>
          <t>72.0</t>
        </is>
      </c>
      <c r="I40" t="inlineStr">
        <is>
          <t>68.0</t>
        </is>
      </c>
      <c r="J40" t="inlineStr">
        <is>
          <t>77.0</t>
        </is>
      </c>
      <c r="K40" t="inlineStr">
        <is>
          <t>--</t>
        </is>
      </c>
    </row>
    <row r="41">
      <c r="A41" t="inlineStr"/>
      <c r="B41" t="inlineStr">
        <is>
          <t>40</t>
        </is>
      </c>
      <c r="C41" t="inlineStr">
        <is>
          <t>Haotong Li</t>
        </is>
      </c>
      <c r="D41" t="inlineStr">
        <is>
          <t>+1</t>
        </is>
      </c>
      <c r="E41" t="inlineStr"/>
      <c r="F41" t="inlineStr"/>
      <c r="G41" t="inlineStr">
        <is>
          <t>71.0</t>
        </is>
      </c>
      <c r="H41" t="inlineStr">
        <is>
          <t>69.0</t>
        </is>
      </c>
      <c r="I41" t="inlineStr">
        <is>
          <t>69.0</t>
        </is>
      </c>
      <c r="J41" t="inlineStr">
        <is>
          <t>80.0</t>
        </is>
      </c>
      <c r="K41" t="inlineStr">
        <is>
          <t>--</t>
        </is>
      </c>
    </row>
    <row r="42">
      <c r="A42" t="inlineStr"/>
      <c r="B42" t="inlineStr">
        <is>
          <t>41</t>
        </is>
      </c>
      <c r="C42" t="inlineStr">
        <is>
          <t>Justin Thomas</t>
        </is>
      </c>
      <c r="D42" t="inlineStr">
        <is>
          <t>+2</t>
        </is>
      </c>
      <c r="E42" t="inlineStr"/>
      <c r="F42" t="inlineStr"/>
      <c r="G42" t="inlineStr">
        <is>
          <t>72.0</t>
        </is>
      </c>
      <c r="H42" t="inlineStr">
        <is>
          <t>74.0</t>
        </is>
      </c>
      <c r="I42" t="inlineStr">
        <is>
          <t>71.0</t>
        </is>
      </c>
      <c r="J42" t="inlineStr">
        <is>
          <t>73.0</t>
        </is>
      </c>
      <c r="K42" t="inlineStr">
        <is>
          <t>--</t>
        </is>
      </c>
    </row>
    <row r="43">
      <c r="A43" t="inlineStr"/>
      <c r="B43" t="inlineStr">
        <is>
          <t>42</t>
        </is>
      </c>
      <c r="C43" t="inlineStr">
        <is>
          <t>Jacob Bridgeman</t>
        </is>
      </c>
      <c r="D43" t="inlineStr">
        <is>
          <t>+2</t>
        </is>
      </c>
      <c r="E43" t="inlineStr"/>
      <c r="F43" t="inlineStr"/>
      <c r="G43" t="inlineStr">
        <is>
          <t>71.0</t>
        </is>
      </c>
      <c r="H43" t="inlineStr">
        <is>
          <t>74.0</t>
        </is>
      </c>
      <c r="I43" t="inlineStr">
        <is>
          <t>69.0</t>
        </is>
      </c>
      <c r="J43" t="inlineStr">
        <is>
          <t>76.0</t>
        </is>
      </c>
      <c r="K43" t="inlineStr">
        <is>
          <t>--</t>
        </is>
      </c>
    </row>
    <row r="44">
      <c r="A44" t="inlineStr"/>
      <c r="B44" t="inlineStr">
        <is>
          <t>43</t>
        </is>
      </c>
      <c r="C44" t="inlineStr">
        <is>
          <t>Sepp Straka</t>
        </is>
      </c>
      <c r="D44" t="inlineStr">
        <is>
          <t>+2</t>
        </is>
      </c>
      <c r="E44" t="inlineStr"/>
      <c r="F44" t="inlineStr"/>
      <c r="G44" t="inlineStr">
        <is>
          <t>73.0</t>
        </is>
      </c>
      <c r="H44" t="inlineStr">
        <is>
          <t>72.0</t>
        </is>
      </c>
      <c r="I44" t="inlineStr">
        <is>
          <t>69.0</t>
        </is>
      </c>
      <c r="J44" t="inlineStr">
        <is>
          <t>76.0</t>
        </is>
      </c>
      <c r="K44" t="inlineStr">
        <is>
          <t>--</t>
        </is>
      </c>
    </row>
    <row r="45">
      <c r="A45" t="inlineStr"/>
      <c r="B45" t="inlineStr">
        <is>
          <t>44</t>
        </is>
      </c>
      <c r="C45" t="inlineStr">
        <is>
          <t>Nick Taylor</t>
        </is>
      </c>
      <c r="D45" t="inlineStr">
        <is>
          <t>+2</t>
        </is>
      </c>
      <c r="E45" t="inlineStr"/>
      <c r="F45" t="inlineStr"/>
      <c r="G45" t="inlineStr">
        <is>
          <t>71.0</t>
        </is>
      </c>
      <c r="H45" t="inlineStr">
        <is>
          <t>72.0</t>
        </is>
      </c>
      <c r="I45" t="inlineStr">
        <is>
          <t>70.0</t>
        </is>
      </c>
      <c r="J45" t="inlineStr">
        <is>
          <t>77.0</t>
        </is>
      </c>
      <c r="K45" t="inlineStr">
        <is>
          <t>--</t>
        </is>
      </c>
    </row>
    <row r="46">
      <c r="A46" t="inlineStr"/>
      <c r="B46" t="inlineStr">
        <is>
          <t>45</t>
        </is>
      </c>
      <c r="C46" t="inlineStr">
        <is>
          <t>Kristoffer Reitan</t>
        </is>
      </c>
      <c r="D46" t="inlineStr">
        <is>
          <t>+2</t>
        </is>
      </c>
      <c r="E46" t="inlineStr"/>
      <c r="F46" t="inlineStr"/>
      <c r="G46" t="inlineStr">
        <is>
          <t>72.0</t>
        </is>
      </c>
      <c r="H46" t="inlineStr">
        <is>
          <t>68.0</t>
        </is>
      </c>
      <c r="I46" t="inlineStr">
        <is>
          <t>73.0</t>
        </is>
      </c>
      <c r="J46" t="inlineStr">
        <is>
          <t>77.0</t>
        </is>
      </c>
      <c r="K46" t="inlineStr">
        <is>
          <t>--</t>
        </is>
      </c>
    </row>
    <row r="47">
      <c r="A47" t="inlineStr"/>
      <c r="B47" t="inlineStr">
        <is>
          <t>46</t>
        </is>
      </c>
      <c r="C47" t="inlineStr">
        <is>
          <t>Sungjae Im</t>
        </is>
      </c>
      <c r="D47" t="inlineStr">
        <is>
          <t>+3</t>
        </is>
      </c>
      <c r="E47" t="inlineStr"/>
      <c r="F47" t="inlineStr"/>
      <c r="G47" t="inlineStr">
        <is>
          <t>76.0</t>
        </is>
      </c>
      <c r="H47" t="inlineStr">
        <is>
          <t>69.0</t>
        </is>
      </c>
      <c r="I47" t="inlineStr">
        <is>
          <t>69.0</t>
        </is>
      </c>
      <c r="J47" t="inlineStr">
        <is>
          <t>77.0</t>
        </is>
      </c>
      <c r="K47" t="inlineStr">
        <is>
          <t>--</t>
        </is>
      </c>
    </row>
    <row r="48">
      <c r="A48" t="inlineStr"/>
      <c r="B48" t="inlineStr">
        <is>
          <t>47</t>
        </is>
      </c>
      <c r="C48" t="inlineStr">
        <is>
          <t>Si Woo Kim</t>
        </is>
      </c>
      <c r="D48" t="inlineStr">
        <is>
          <t>+4</t>
        </is>
      </c>
      <c r="E48" t="inlineStr"/>
      <c r="F48" t="inlineStr"/>
      <c r="G48" t="inlineStr">
        <is>
          <t>75.0</t>
        </is>
      </c>
      <c r="H48" t="inlineStr">
        <is>
          <t>73.0</t>
        </is>
      </c>
      <c r="I48" t="inlineStr">
        <is>
          <t>72.0</t>
        </is>
      </c>
      <c r="J48" t="inlineStr">
        <is>
          <t>72.0</t>
        </is>
      </c>
      <c r="K48" t="inlineStr">
        <is>
          <t>--</t>
        </is>
      </c>
    </row>
    <row r="49">
      <c r="A49" t="inlineStr"/>
      <c r="B49" t="inlineStr">
        <is>
          <t>48</t>
        </is>
      </c>
      <c r="C49" t="inlineStr">
        <is>
          <t>Aaron Rai</t>
        </is>
      </c>
      <c r="D49" t="inlineStr">
        <is>
          <t>+5</t>
        </is>
      </c>
      <c r="E49" t="inlineStr"/>
      <c r="F49" t="inlineStr"/>
      <c r="G49" t="inlineStr">
        <is>
          <t>71.0</t>
        </is>
      </c>
      <c r="H49" t="inlineStr">
        <is>
          <t>74.0</t>
        </is>
      </c>
      <c r="I49" t="inlineStr">
        <is>
          <t>78.0</t>
        </is>
      </c>
      <c r="J49" t="inlineStr">
        <is>
          <t>70.0</t>
        </is>
      </c>
      <c r="K49" t="inlineStr">
        <is>
          <t>--</t>
        </is>
      </c>
    </row>
    <row r="50">
      <c r="A50" t="inlineStr"/>
      <c r="B50" t="inlineStr">
        <is>
          <t>49</t>
        </is>
      </c>
      <c r="C50" t="inlineStr">
        <is>
          <t>Corey Conners</t>
        </is>
      </c>
      <c r="D50" t="inlineStr">
        <is>
          <t>+6</t>
        </is>
      </c>
      <c r="E50" t="inlineStr"/>
      <c r="F50" t="inlineStr"/>
      <c r="G50" t="inlineStr">
        <is>
          <t>75.0</t>
        </is>
      </c>
      <c r="H50" t="inlineStr">
        <is>
          <t>73.0</t>
        </is>
      </c>
      <c r="I50" t="inlineStr">
        <is>
          <t>71.0</t>
        </is>
      </c>
      <c r="J50" t="inlineStr">
        <is>
          <t>75.0</t>
        </is>
      </c>
      <c r="K50" t="inlineStr">
        <is>
          <t>--</t>
        </is>
      </c>
    </row>
    <row r="51">
      <c r="A51" t="inlineStr"/>
      <c r="B51" t="inlineStr">
        <is>
          <t>50</t>
        </is>
      </c>
      <c r="C51" t="inlineStr">
        <is>
          <t>Marco Penge</t>
        </is>
      </c>
      <c r="D51" t="inlineStr">
        <is>
          <t>+6</t>
        </is>
      </c>
      <c r="E51" t="inlineStr"/>
      <c r="F51" t="inlineStr"/>
      <c r="G51" t="inlineStr">
        <is>
          <t>76.0</t>
        </is>
      </c>
      <c r="H51" t="inlineStr">
        <is>
          <t>69.0</t>
        </is>
      </c>
      <c r="I51" t="inlineStr">
        <is>
          <t>71.0</t>
        </is>
      </c>
      <c r="J51" t="inlineStr">
        <is>
          <t>78.0</t>
        </is>
      </c>
      <c r="K51" t="inlineStr">
        <is>
          <t>--</t>
        </is>
      </c>
    </row>
    <row r="52">
      <c r="A52" t="inlineStr"/>
      <c r="B52" t="inlineStr">
        <is>
          <t>51</t>
        </is>
      </c>
      <c r="C52" t="inlineStr">
        <is>
          <t>Kurt Kitayama</t>
        </is>
      </c>
      <c r="D52" t="inlineStr">
        <is>
          <t>+7</t>
        </is>
      </c>
      <c r="E52" t="inlineStr"/>
      <c r="F52" t="inlineStr"/>
      <c r="G52" t="inlineStr">
        <is>
          <t>69.0</t>
        </is>
      </c>
      <c r="H52" t="inlineStr">
        <is>
          <t>79.0</t>
        </is>
      </c>
      <c r="I52" t="inlineStr">
        <is>
          <t>75.0</t>
        </is>
      </c>
      <c r="J52" t="inlineStr">
        <is>
          <t>72.0</t>
        </is>
      </c>
      <c r="K52" t="inlineStr">
        <is>
          <t>--</t>
        </is>
      </c>
    </row>
    <row r="53">
      <c r="A53" t="inlineStr"/>
      <c r="B53" t="inlineStr">
        <is>
          <t>52</t>
        </is>
      </c>
      <c r="C53" t="inlineStr">
        <is>
          <t>Sergio García</t>
        </is>
      </c>
      <c r="D53" t="inlineStr">
        <is>
          <t>+8</t>
        </is>
      </c>
      <c r="E53" t="inlineStr"/>
      <c r="F53" t="inlineStr"/>
      <c r="G53" t="inlineStr">
        <is>
          <t>72.0</t>
        </is>
      </c>
      <c r="H53" t="inlineStr">
        <is>
          <t>75.0</t>
        </is>
      </c>
      <c r="I53" t="inlineStr">
        <is>
          <t>74.0</t>
        </is>
      </c>
      <c r="J53" t="inlineStr">
        <is>
          <t>75.0</t>
        </is>
      </c>
      <c r="K53" t="inlineStr">
        <is>
          <t>--</t>
        </is>
      </c>
    </row>
    <row r="54">
      <c r="A54" t="inlineStr"/>
      <c r="B54" t="inlineStr">
        <is>
          <t>53</t>
        </is>
      </c>
      <c r="C54" t="inlineStr">
        <is>
          <t>Rasmus Højgaard</t>
        </is>
      </c>
      <c r="D54" t="inlineStr">
        <is>
          <t>+10</t>
        </is>
      </c>
      <c r="E54" t="inlineStr"/>
      <c r="F54" t="inlineStr"/>
      <c r="G54" t="inlineStr">
        <is>
          <t>78.0</t>
        </is>
      </c>
      <c r="H54" t="inlineStr">
        <is>
          <t>70.0</t>
        </is>
      </c>
      <c r="I54" t="inlineStr">
        <is>
          <t>73.0</t>
        </is>
      </c>
      <c r="J54" t="inlineStr">
        <is>
          <t>77.0</t>
        </is>
      </c>
      <c r="K54" t="inlineStr">
        <is>
          <t>--</t>
        </is>
      </c>
    </row>
    <row r="55">
      <c r="A55" t="inlineStr"/>
      <c r="B55" t="inlineStr">
        <is>
          <t>54</t>
        </is>
      </c>
      <c r="C55" t="inlineStr">
        <is>
          <t>Charl Schwartzel</t>
        </is>
      </c>
      <c r="D55" t="inlineStr">
        <is>
          <t>+12</t>
        </is>
      </c>
      <c r="E55" t="inlineStr"/>
      <c r="F55" t="inlineStr"/>
      <c r="G55" t="inlineStr">
        <is>
          <t>75.0</t>
        </is>
      </c>
      <c r="H55" t="inlineStr">
        <is>
          <t>73.0</t>
        </is>
      </c>
      <c r="I55" t="inlineStr">
        <is>
          <t>77.0</t>
        </is>
      </c>
      <c r="J55" t="inlineStr">
        <is>
          <t>75.0</t>
        </is>
      </c>
      <c r="K55" t="inlineStr">
        <is>
          <t>--</t>
        </is>
      </c>
    </row>
    <row r="56">
      <c r="A56" t="inlineStr"/>
      <c r="B56" t="inlineStr">
        <is>
          <t>55</t>
        </is>
      </c>
      <c r="C56" t="inlineStr">
        <is>
          <t>Harry Hall</t>
        </is>
      </c>
      <c r="D56" t="inlineStr">
        <is>
          <t>+5</t>
        </is>
      </c>
      <c r="E56" t="inlineStr"/>
      <c r="F56" t="inlineStr"/>
      <c r="G56" t="inlineStr">
        <is>
          <t>77.0</t>
        </is>
      </c>
      <c r="H56" t="inlineStr">
        <is>
          <t>72.0</t>
        </is>
      </c>
      <c r="I56" t="inlineStr">
        <is>
          <t>0.0</t>
        </is>
      </c>
      <c r="J56" t="inlineStr"/>
      <c r="K56" t="inlineStr">
        <is>
          <t>--</t>
        </is>
      </c>
    </row>
    <row r="57">
      <c r="A57" t="inlineStr"/>
      <c r="B57" t="inlineStr">
        <is>
          <t>56</t>
        </is>
      </c>
      <c r="C57" t="inlineStr">
        <is>
          <t>Ryan Fox</t>
        </is>
      </c>
      <c r="D57" t="inlineStr">
        <is>
          <t>+5</t>
        </is>
      </c>
      <c r="E57" t="inlineStr"/>
      <c r="F57" t="inlineStr"/>
      <c r="G57" t="inlineStr">
        <is>
          <t>77.0</t>
        </is>
      </c>
      <c r="H57" t="inlineStr">
        <is>
          <t>72.0</t>
        </is>
      </c>
      <c r="I57" t="inlineStr">
        <is>
          <t>0.0</t>
        </is>
      </c>
      <c r="J57" t="inlineStr"/>
      <c r="K57" t="inlineStr">
        <is>
          <t>--</t>
        </is>
      </c>
    </row>
    <row r="58">
      <c r="A58" t="inlineStr"/>
      <c r="B58" t="inlineStr">
        <is>
          <t>57</t>
        </is>
      </c>
      <c r="C58" t="inlineStr">
        <is>
          <t>Danny Willett</t>
        </is>
      </c>
      <c r="D58" t="inlineStr">
        <is>
          <t>+5</t>
        </is>
      </c>
      <c r="E58" t="inlineStr"/>
      <c r="F58" t="inlineStr"/>
      <c r="G58" t="inlineStr">
        <is>
          <t>76.0</t>
        </is>
      </c>
      <c r="H58" t="inlineStr">
        <is>
          <t>73.0</t>
        </is>
      </c>
      <c r="I58" t="inlineStr">
        <is>
          <t>0.0</t>
        </is>
      </c>
      <c r="J58" t="inlineStr"/>
      <c r="K58" t="inlineStr">
        <is>
          <t>--</t>
        </is>
      </c>
    </row>
    <row r="59">
      <c r="A59" t="inlineStr"/>
      <c r="B59" t="inlineStr">
        <is>
          <t>58</t>
        </is>
      </c>
      <c r="C59" t="inlineStr">
        <is>
          <t>Bubba Watson</t>
        </is>
      </c>
      <c r="D59" t="inlineStr">
        <is>
          <t>+5</t>
        </is>
      </c>
      <c r="E59" t="inlineStr"/>
      <c r="F59" t="inlineStr"/>
      <c r="G59" t="inlineStr">
        <is>
          <t>76.0</t>
        </is>
      </c>
      <c r="H59" t="inlineStr">
        <is>
          <t>73.0</t>
        </is>
      </c>
      <c r="I59" t="inlineStr">
        <is>
          <t>0.0</t>
        </is>
      </c>
      <c r="J59" t="inlineStr"/>
      <c r="K59" t="inlineStr">
        <is>
          <t>--</t>
        </is>
      </c>
    </row>
    <row r="60">
      <c r="A60" t="inlineStr"/>
      <c r="B60" t="inlineStr">
        <is>
          <t>59</t>
        </is>
      </c>
      <c r="C60" t="inlineStr">
        <is>
          <t>J.J. Spaun</t>
        </is>
      </c>
      <c r="D60" t="inlineStr">
        <is>
          <t>+5</t>
        </is>
      </c>
      <c r="E60" t="inlineStr"/>
      <c r="F60" t="inlineStr"/>
      <c r="G60" t="inlineStr">
        <is>
          <t>74.0</t>
        </is>
      </c>
      <c r="H60" t="inlineStr">
        <is>
          <t>75.0</t>
        </is>
      </c>
      <c r="I60" t="inlineStr">
        <is>
          <t>0.0</t>
        </is>
      </c>
      <c r="J60" t="inlineStr"/>
      <c r="K60" t="inlineStr">
        <is>
          <t>--</t>
        </is>
      </c>
    </row>
    <row r="61">
      <c r="A61" t="inlineStr"/>
      <c r="B61" t="inlineStr">
        <is>
          <t>60</t>
        </is>
      </c>
      <c r="C61" t="inlineStr">
        <is>
          <t>Nicolai Højgaard</t>
        </is>
      </c>
      <c r="D61" t="inlineStr">
        <is>
          <t>+6</t>
        </is>
      </c>
      <c r="E61" t="inlineStr"/>
      <c r="F61" t="inlineStr"/>
      <c r="G61" t="inlineStr">
        <is>
          <t>76.0</t>
        </is>
      </c>
      <c r="H61" t="inlineStr">
        <is>
          <t>74.0</t>
        </is>
      </c>
      <c r="I61" t="inlineStr">
        <is>
          <t>0.0</t>
        </is>
      </c>
      <c r="J61" t="inlineStr"/>
      <c r="K61" t="inlineStr">
        <is>
          <t>--</t>
        </is>
      </c>
    </row>
    <row r="62">
      <c r="A62" t="inlineStr"/>
      <c r="B62" t="inlineStr">
        <is>
          <t>61</t>
        </is>
      </c>
      <c r="C62" t="inlineStr">
        <is>
          <t>Bryson DeChambeau</t>
        </is>
      </c>
      <c r="D62" t="inlineStr">
        <is>
          <t>+6</t>
        </is>
      </c>
      <c r="E62" t="inlineStr"/>
      <c r="F62" t="inlineStr"/>
      <c r="G62" t="inlineStr">
        <is>
          <t>76.0</t>
        </is>
      </c>
      <c r="H62" t="inlineStr">
        <is>
          <t>74.0</t>
        </is>
      </c>
      <c r="I62" t="inlineStr">
        <is>
          <t>0.0</t>
        </is>
      </c>
      <c r="J62" t="inlineStr"/>
      <c r="K62" t="inlineStr">
        <is>
          <t>--</t>
        </is>
      </c>
    </row>
    <row r="63">
      <c r="A63" t="inlineStr"/>
      <c r="B63" t="inlineStr">
        <is>
          <t>62</t>
        </is>
      </c>
      <c r="C63" t="inlineStr">
        <is>
          <t>Zach Johnson</t>
        </is>
      </c>
      <c r="D63" t="inlineStr">
        <is>
          <t>+6</t>
        </is>
      </c>
      <c r="E63" t="inlineStr"/>
      <c r="F63" t="inlineStr"/>
      <c r="G63" t="inlineStr">
        <is>
          <t>75.0</t>
        </is>
      </c>
      <c r="H63" t="inlineStr">
        <is>
          <t>75.0</t>
        </is>
      </c>
      <c r="I63" t="inlineStr">
        <is>
          <t>0.0</t>
        </is>
      </c>
      <c r="J63" t="inlineStr"/>
      <c r="K63" t="inlineStr">
        <is>
          <t>--</t>
        </is>
      </c>
    </row>
    <row r="64">
      <c r="A64" t="inlineStr"/>
      <c r="B64" t="inlineStr">
        <is>
          <t>63</t>
        </is>
      </c>
      <c r="C64" t="inlineStr">
        <is>
          <t>Akshay Bhatia</t>
        </is>
      </c>
      <c r="D64" t="inlineStr">
        <is>
          <t>+6</t>
        </is>
      </c>
      <c r="E64" t="inlineStr"/>
      <c r="F64" t="inlineStr"/>
      <c r="G64" t="inlineStr">
        <is>
          <t>73.0</t>
        </is>
      </c>
      <c r="H64" t="inlineStr">
        <is>
          <t>77.0</t>
        </is>
      </c>
      <c r="I64" t="inlineStr">
        <is>
          <t>0.0</t>
        </is>
      </c>
      <c r="J64" t="inlineStr"/>
      <c r="K64" t="inlineStr">
        <is>
          <t>--</t>
        </is>
      </c>
    </row>
    <row r="65">
      <c r="A65" t="inlineStr"/>
      <c r="B65" t="inlineStr">
        <is>
          <t>64</t>
        </is>
      </c>
      <c r="C65" t="inlineStr">
        <is>
          <t>Robert MacIntyre</t>
        </is>
      </c>
      <c r="D65" t="inlineStr">
        <is>
          <t>+7</t>
        </is>
      </c>
      <c r="E65" t="inlineStr"/>
      <c r="F65" t="inlineStr"/>
      <c r="G65" t="inlineStr">
        <is>
          <t>80.0</t>
        </is>
      </c>
      <c r="H65" t="inlineStr">
        <is>
          <t>71.0</t>
        </is>
      </c>
      <c r="I65" t="inlineStr">
        <is>
          <t>0.0</t>
        </is>
      </c>
      <c r="J65" t="inlineStr"/>
      <c r="K65" t="inlineStr">
        <is>
          <t>--</t>
        </is>
      </c>
    </row>
    <row r="66">
      <c r="A66" t="inlineStr"/>
      <c r="B66" t="inlineStr">
        <is>
          <t>65</t>
        </is>
      </c>
      <c r="C66" t="inlineStr">
        <is>
          <t>Rasmus Neergaard-Petersen</t>
        </is>
      </c>
      <c r="D66" t="inlineStr">
        <is>
          <t>+7</t>
        </is>
      </c>
      <c r="E66" t="inlineStr"/>
      <c r="F66" t="inlineStr"/>
      <c r="G66" t="inlineStr">
        <is>
          <t>77.0</t>
        </is>
      </c>
      <c r="H66" t="inlineStr">
        <is>
          <t>74.0</t>
        </is>
      </c>
      <c r="I66" t="inlineStr">
        <is>
          <t>0.0</t>
        </is>
      </c>
      <c r="J66" t="inlineStr"/>
      <c r="K66" t="inlineStr">
        <is>
          <t>--</t>
        </is>
      </c>
    </row>
    <row r="67">
      <c r="A67" t="inlineStr"/>
      <c r="B67" t="inlineStr">
        <is>
          <t>66</t>
        </is>
      </c>
      <c r="C67" t="inlineStr">
        <is>
          <t>Andrew Novak</t>
        </is>
      </c>
      <c r="D67" t="inlineStr">
        <is>
          <t>+7</t>
        </is>
      </c>
      <c r="E67" t="inlineStr"/>
      <c r="F67" t="inlineStr"/>
      <c r="G67" t="inlineStr">
        <is>
          <t>75.0</t>
        </is>
      </c>
      <c r="H67" t="inlineStr">
        <is>
          <t>76.0</t>
        </is>
      </c>
      <c r="I67" t="inlineStr">
        <is>
          <t>0.0</t>
        </is>
      </c>
      <c r="J67" t="inlineStr"/>
      <c r="K67" t="inlineStr">
        <is>
          <t>--</t>
        </is>
      </c>
    </row>
    <row r="68">
      <c r="A68" t="inlineStr"/>
      <c r="B68" t="inlineStr">
        <is>
          <t>67</t>
        </is>
      </c>
      <c r="C68" t="inlineStr">
        <is>
          <t>Tom McKibbin</t>
        </is>
      </c>
      <c r="D68" t="inlineStr">
        <is>
          <t>+7</t>
        </is>
      </c>
      <c r="E68" t="inlineStr"/>
      <c r="F68" t="inlineStr"/>
      <c r="G68" t="inlineStr">
        <is>
          <t>75.0</t>
        </is>
      </c>
      <c r="H68" t="inlineStr">
        <is>
          <t>76.0</t>
        </is>
      </c>
      <c r="I68" t="inlineStr">
        <is>
          <t>0.0</t>
        </is>
      </c>
      <c r="J68" t="inlineStr"/>
      <c r="K68" t="inlineStr">
        <is>
          <t>--</t>
        </is>
      </c>
    </row>
    <row r="69">
      <c r="A69" t="inlineStr"/>
      <c r="B69" t="inlineStr">
        <is>
          <t>68</t>
        </is>
      </c>
      <c r="C69" t="inlineStr">
        <is>
          <t>Cameron Smith</t>
        </is>
      </c>
      <c r="D69" t="inlineStr">
        <is>
          <t>+7</t>
        </is>
      </c>
      <c r="E69" t="inlineStr"/>
      <c r="F69" t="inlineStr"/>
      <c r="G69" t="inlineStr">
        <is>
          <t>74.0</t>
        </is>
      </c>
      <c r="H69" t="inlineStr">
        <is>
          <t>77.0</t>
        </is>
      </c>
      <c r="I69" t="inlineStr">
        <is>
          <t>0.0</t>
        </is>
      </c>
      <c r="J69" t="inlineStr"/>
      <c r="K69" t="inlineStr">
        <is>
          <t>--</t>
        </is>
      </c>
    </row>
    <row r="70">
      <c r="A70" t="inlineStr"/>
      <c r="B70" t="inlineStr">
        <is>
          <t>69</t>
        </is>
      </c>
      <c r="C70" t="inlineStr">
        <is>
          <t>Casey Jarvis</t>
        </is>
      </c>
      <c r="D70" t="inlineStr">
        <is>
          <t>+8</t>
        </is>
      </c>
      <c r="E70" t="inlineStr"/>
      <c r="F70" t="inlineStr"/>
      <c r="G70" t="inlineStr">
        <is>
          <t>77.0</t>
        </is>
      </c>
      <c r="H70" t="inlineStr">
        <is>
          <t>75.0</t>
        </is>
      </c>
      <c r="I70" t="inlineStr">
        <is>
          <t>0.0</t>
        </is>
      </c>
      <c r="J70" t="inlineStr"/>
      <c r="K70" t="inlineStr">
        <is>
          <t>--</t>
        </is>
      </c>
    </row>
    <row r="71">
      <c r="A71" t="inlineStr"/>
      <c r="B71" t="inlineStr">
        <is>
          <t>70</t>
        </is>
      </c>
      <c r="C71" t="inlineStr">
        <is>
          <t>Daniel Berger</t>
        </is>
      </c>
      <c r="D71" t="inlineStr">
        <is>
          <t>+8</t>
        </is>
      </c>
      <c r="E71" t="inlineStr"/>
      <c r="F71" t="inlineStr"/>
      <c r="G71" t="inlineStr">
        <is>
          <t>76.0</t>
        </is>
      </c>
      <c r="H71" t="inlineStr">
        <is>
          <t>76.0</t>
        </is>
      </c>
      <c r="I71" t="inlineStr">
        <is>
          <t>0.0</t>
        </is>
      </c>
      <c r="J71" t="inlineStr"/>
      <c r="K71" t="inlineStr">
        <is>
          <t>--</t>
        </is>
      </c>
    </row>
    <row r="72">
      <c r="A72" t="inlineStr"/>
      <c r="B72" t="inlineStr">
        <is>
          <t>71</t>
        </is>
      </c>
      <c r="C72" t="inlineStr">
        <is>
          <t>Jackson Herrington</t>
        </is>
      </c>
      <c r="D72" t="inlineStr">
        <is>
          <t>+8</t>
        </is>
      </c>
      <c r="E72" t="inlineStr"/>
      <c r="F72" t="inlineStr"/>
      <c r="G72" t="inlineStr">
        <is>
          <t>76.0</t>
        </is>
      </c>
      <c r="H72" t="inlineStr">
        <is>
          <t>76.0</t>
        </is>
      </c>
      <c r="I72" t="inlineStr">
        <is>
          <t>0.0</t>
        </is>
      </c>
      <c r="J72" t="inlineStr"/>
      <c r="K72" t="inlineStr">
        <is>
          <t>--</t>
        </is>
      </c>
    </row>
    <row r="73">
      <c r="A73" t="inlineStr"/>
      <c r="B73" t="inlineStr">
        <is>
          <t>72</t>
        </is>
      </c>
      <c r="C73" t="inlineStr">
        <is>
          <t>Michael Kim</t>
        </is>
      </c>
      <c r="D73" t="inlineStr">
        <is>
          <t>+8</t>
        </is>
      </c>
      <c r="E73" t="inlineStr"/>
      <c r="F73" t="inlineStr"/>
      <c r="G73" t="inlineStr">
        <is>
          <t>75.0</t>
        </is>
      </c>
      <c r="H73" t="inlineStr">
        <is>
          <t>77.0</t>
        </is>
      </c>
      <c r="I73" t="inlineStr">
        <is>
          <t>0.0</t>
        </is>
      </c>
      <c r="J73" t="inlineStr"/>
      <c r="K73" t="inlineStr">
        <is>
          <t>--</t>
        </is>
      </c>
    </row>
    <row r="74">
      <c r="A74" t="inlineStr"/>
      <c r="B74" t="inlineStr">
        <is>
          <t>73</t>
        </is>
      </c>
      <c r="C74" t="inlineStr">
        <is>
          <t>Ethan Fang</t>
        </is>
      </c>
      <c r="D74" t="inlineStr">
        <is>
          <t>+8</t>
        </is>
      </c>
      <c r="E74" t="inlineStr"/>
      <c r="F74" t="inlineStr"/>
      <c r="G74" t="inlineStr">
        <is>
          <t>74.0</t>
        </is>
      </c>
      <c r="H74" t="inlineStr">
        <is>
          <t>78.0</t>
        </is>
      </c>
      <c r="I74" t="inlineStr">
        <is>
          <t>0.0</t>
        </is>
      </c>
      <c r="J74" t="inlineStr"/>
      <c r="K74" t="inlineStr">
        <is>
          <t>--</t>
        </is>
      </c>
    </row>
    <row r="75">
      <c r="A75" t="inlineStr"/>
      <c r="B75" t="inlineStr">
        <is>
          <t>74</t>
        </is>
      </c>
      <c r="C75" t="inlineStr">
        <is>
          <t>Fred Couples</t>
        </is>
      </c>
      <c r="D75" t="inlineStr">
        <is>
          <t>+9</t>
        </is>
      </c>
      <c r="E75" t="inlineStr"/>
      <c r="F75" t="inlineStr"/>
      <c r="G75" t="inlineStr">
        <is>
          <t>78.0</t>
        </is>
      </c>
      <c r="H75" t="inlineStr">
        <is>
          <t>75.0</t>
        </is>
      </c>
      <c r="I75" t="inlineStr">
        <is>
          <t>0.0</t>
        </is>
      </c>
      <c r="J75" t="inlineStr"/>
      <c r="K75" t="inlineStr">
        <is>
          <t>--</t>
        </is>
      </c>
    </row>
    <row r="76">
      <c r="A76" t="inlineStr"/>
      <c r="B76" t="inlineStr">
        <is>
          <t>75</t>
        </is>
      </c>
      <c r="C76" t="inlineStr">
        <is>
          <t>Mason Howell</t>
        </is>
      </c>
      <c r="D76" t="inlineStr">
        <is>
          <t>+9</t>
        </is>
      </c>
      <c r="E76" t="inlineStr"/>
      <c r="F76" t="inlineStr"/>
      <c r="G76" t="inlineStr">
        <is>
          <t>77.0</t>
        </is>
      </c>
      <c r="H76" t="inlineStr">
        <is>
          <t>76.0</t>
        </is>
      </c>
      <c r="I76" t="inlineStr">
        <is>
          <t>0.0</t>
        </is>
      </c>
      <c r="J76" t="inlineStr"/>
      <c r="K76" t="inlineStr">
        <is>
          <t>--</t>
        </is>
      </c>
    </row>
    <row r="77">
      <c r="A77" t="inlineStr"/>
      <c r="B77" t="inlineStr">
        <is>
          <t>76</t>
        </is>
      </c>
      <c r="C77" t="inlineStr">
        <is>
          <t>José María Olazábal</t>
        </is>
      </c>
      <c r="D77" t="inlineStr">
        <is>
          <t>+9</t>
        </is>
      </c>
      <c r="E77" t="inlineStr"/>
      <c r="F77" t="inlineStr"/>
      <c r="G77" t="inlineStr">
        <is>
          <t>74.0</t>
        </is>
      </c>
      <c r="H77" t="inlineStr">
        <is>
          <t>79.0</t>
        </is>
      </c>
      <c r="I77" t="inlineStr">
        <is>
          <t>0.0</t>
        </is>
      </c>
      <c r="J77" t="inlineStr"/>
      <c r="K77" t="inlineStr">
        <is>
          <t>--</t>
        </is>
      </c>
    </row>
    <row r="78">
      <c r="A78" t="inlineStr"/>
      <c r="B78" t="inlineStr">
        <is>
          <t>77</t>
        </is>
      </c>
      <c r="C78" t="inlineStr">
        <is>
          <t>Mike Weir</t>
        </is>
      </c>
      <c r="D78" t="inlineStr">
        <is>
          <t>+10</t>
        </is>
      </c>
      <c r="E78" t="inlineStr"/>
      <c r="F78" t="inlineStr"/>
      <c r="G78" t="inlineStr">
        <is>
          <t>81.0</t>
        </is>
      </c>
      <c r="H78" t="inlineStr">
        <is>
          <t>73.0</t>
        </is>
      </c>
      <c r="I78" t="inlineStr">
        <is>
          <t>0.0</t>
        </is>
      </c>
      <c r="J78" t="inlineStr"/>
      <c r="K78" t="inlineStr">
        <is>
          <t>--</t>
        </is>
      </c>
    </row>
    <row r="79">
      <c r="A79" t="inlineStr"/>
      <c r="B79" t="inlineStr">
        <is>
          <t>78</t>
        </is>
      </c>
      <c r="C79" t="inlineStr">
        <is>
          <t>Vijay Singh</t>
        </is>
      </c>
      <c r="D79" t="inlineStr">
        <is>
          <t>+10</t>
        </is>
      </c>
      <c r="E79" t="inlineStr"/>
      <c r="F79" t="inlineStr"/>
      <c r="G79" t="inlineStr">
        <is>
          <t>79.0</t>
        </is>
      </c>
      <c r="H79" t="inlineStr">
        <is>
          <t>75.0</t>
        </is>
      </c>
      <c r="I79" t="inlineStr">
        <is>
          <t>0.0</t>
        </is>
      </c>
      <c r="J79" t="inlineStr"/>
      <c r="K79" t="inlineStr">
        <is>
          <t>--</t>
        </is>
      </c>
    </row>
    <row r="80">
      <c r="A80" t="inlineStr"/>
      <c r="B80" t="inlineStr">
        <is>
          <t>79</t>
        </is>
      </c>
      <c r="C80" t="inlineStr">
        <is>
          <t>Fifa Laopakdee</t>
        </is>
      </c>
      <c r="D80" t="inlineStr">
        <is>
          <t>+11</t>
        </is>
      </c>
      <c r="E80" t="inlineStr"/>
      <c r="F80" t="inlineStr"/>
      <c r="G80" t="inlineStr">
        <is>
          <t>80.0</t>
        </is>
      </c>
      <c r="H80" t="inlineStr">
        <is>
          <t>75.0</t>
        </is>
      </c>
      <c r="I80" t="inlineStr">
        <is>
          <t>0.0</t>
        </is>
      </c>
      <c r="J80" t="inlineStr"/>
      <c r="K80" t="inlineStr">
        <is>
          <t>--</t>
        </is>
      </c>
    </row>
    <row r="81">
      <c r="A81" t="inlineStr"/>
      <c r="B81" t="inlineStr">
        <is>
          <t>80</t>
        </is>
      </c>
      <c r="C81" t="inlineStr">
        <is>
          <t>Carlos Ortiz</t>
        </is>
      </c>
      <c r="D81" t="inlineStr">
        <is>
          <t>+11</t>
        </is>
      </c>
      <c r="E81" t="inlineStr"/>
      <c r="F81" t="inlineStr"/>
      <c r="G81" t="inlineStr">
        <is>
          <t>80.0</t>
        </is>
      </c>
      <c r="H81" t="inlineStr">
        <is>
          <t>75.0</t>
        </is>
      </c>
      <c r="I81" t="inlineStr">
        <is>
          <t>0.0</t>
        </is>
      </c>
      <c r="J81" t="inlineStr"/>
      <c r="K81" t="inlineStr">
        <is>
          <t>--</t>
        </is>
      </c>
    </row>
    <row r="82">
      <c r="A82" t="inlineStr"/>
      <c r="B82" t="inlineStr">
        <is>
          <t>81</t>
        </is>
      </c>
      <c r="C82" t="inlineStr">
        <is>
          <t>Sami Välimäki</t>
        </is>
      </c>
      <c r="D82" t="inlineStr">
        <is>
          <t>+11</t>
        </is>
      </c>
      <c r="E82" t="inlineStr"/>
      <c r="F82" t="inlineStr"/>
      <c r="G82" t="inlineStr">
        <is>
          <t>80.0</t>
        </is>
      </c>
      <c r="H82" t="inlineStr">
        <is>
          <t>75.0</t>
        </is>
      </c>
      <c r="I82" t="inlineStr">
        <is>
          <t>0.0</t>
        </is>
      </c>
      <c r="J82" t="inlineStr"/>
      <c r="K82" t="inlineStr">
        <is>
          <t>--</t>
        </is>
      </c>
    </row>
    <row r="83">
      <c r="A83" t="inlineStr"/>
      <c r="B83" t="inlineStr">
        <is>
          <t>82</t>
        </is>
      </c>
      <c r="C83" t="inlineStr">
        <is>
          <t>Min Woo Lee</t>
        </is>
      </c>
      <c r="D83" t="inlineStr">
        <is>
          <t>+11</t>
        </is>
      </c>
      <c r="E83" t="inlineStr"/>
      <c r="F83" t="inlineStr"/>
      <c r="G83" t="inlineStr">
        <is>
          <t>78.0</t>
        </is>
      </c>
      <c r="H83" t="inlineStr">
        <is>
          <t>77.0</t>
        </is>
      </c>
      <c r="I83" t="inlineStr">
        <is>
          <t>0.0</t>
        </is>
      </c>
      <c r="J83" t="inlineStr"/>
      <c r="K83" t="inlineStr">
        <is>
          <t>--</t>
        </is>
      </c>
    </row>
    <row r="84">
      <c r="A84" t="inlineStr"/>
      <c r="B84" t="inlineStr">
        <is>
          <t>83</t>
        </is>
      </c>
      <c r="C84" t="inlineStr">
        <is>
          <t>Johnny Keefer</t>
        </is>
      </c>
      <c r="D84" t="inlineStr">
        <is>
          <t>+11</t>
        </is>
      </c>
      <c r="E84" t="inlineStr"/>
      <c r="F84" t="inlineStr"/>
      <c r="G84" t="inlineStr">
        <is>
          <t>76.0</t>
        </is>
      </c>
      <c r="H84" t="inlineStr">
        <is>
          <t>79.0</t>
        </is>
      </c>
      <c r="I84" t="inlineStr">
        <is>
          <t>0.0</t>
        </is>
      </c>
      <c r="J84" t="inlineStr"/>
      <c r="K84" t="inlineStr">
        <is>
          <t>--</t>
        </is>
      </c>
    </row>
    <row r="85">
      <c r="A85" t="inlineStr"/>
      <c r="B85" t="inlineStr">
        <is>
          <t>84</t>
        </is>
      </c>
      <c r="C85" t="inlineStr">
        <is>
          <t>Max Greyserman</t>
        </is>
      </c>
      <c r="D85" t="inlineStr">
        <is>
          <t>+12</t>
        </is>
      </c>
      <c r="E85" t="inlineStr"/>
      <c r="F85" t="inlineStr"/>
      <c r="G85" t="inlineStr">
        <is>
          <t>79.0</t>
        </is>
      </c>
      <c r="H85" t="inlineStr">
        <is>
          <t>77.0</t>
        </is>
      </c>
      <c r="I85" t="inlineStr">
        <is>
          <t>0.0</t>
        </is>
      </c>
      <c r="J85" t="inlineStr"/>
      <c r="K85" t="inlineStr">
        <is>
          <t>--</t>
        </is>
      </c>
    </row>
    <row r="86">
      <c r="A86" t="inlineStr"/>
      <c r="B86" t="inlineStr">
        <is>
          <t>85</t>
        </is>
      </c>
      <c r="C86" t="inlineStr">
        <is>
          <t>Nico Echavarria</t>
        </is>
      </c>
      <c r="D86" t="inlineStr">
        <is>
          <t>+13</t>
        </is>
      </c>
      <c r="E86" t="inlineStr"/>
      <c r="F86" t="inlineStr"/>
      <c r="G86" t="inlineStr">
        <is>
          <t>79.0</t>
        </is>
      </c>
      <c r="H86" t="inlineStr">
        <is>
          <t>78.0</t>
        </is>
      </c>
      <c r="I86" t="inlineStr">
        <is>
          <t>0.0</t>
        </is>
      </c>
      <c r="J86" t="inlineStr"/>
      <c r="K86" t="inlineStr">
        <is>
          <t>--</t>
        </is>
      </c>
    </row>
    <row r="87">
      <c r="A87" t="inlineStr"/>
      <c r="B87" t="inlineStr">
        <is>
          <t>86</t>
        </is>
      </c>
      <c r="C87" t="inlineStr">
        <is>
          <t>Naoyuki Kataoka</t>
        </is>
      </c>
      <c r="D87" t="inlineStr">
        <is>
          <t>+15</t>
        </is>
      </c>
      <c r="E87" t="inlineStr"/>
      <c r="F87" t="inlineStr"/>
      <c r="G87" t="inlineStr">
        <is>
          <t>84.0</t>
        </is>
      </c>
      <c r="H87" t="inlineStr">
        <is>
          <t>75.0</t>
        </is>
      </c>
      <c r="I87" t="inlineStr">
        <is>
          <t>0.0</t>
        </is>
      </c>
      <c r="J87" t="inlineStr"/>
      <c r="K87" t="inlineStr">
        <is>
          <t>--</t>
        </is>
      </c>
    </row>
    <row r="88">
      <c r="A88" t="inlineStr"/>
      <c r="B88" t="inlineStr">
        <is>
          <t>87</t>
        </is>
      </c>
      <c r="C88" t="inlineStr">
        <is>
          <t>Aldrich Potgieter</t>
        </is>
      </c>
      <c r="D88" t="inlineStr">
        <is>
          <t>+15</t>
        </is>
      </c>
      <c r="E88" t="inlineStr"/>
      <c r="F88" t="inlineStr"/>
      <c r="G88" t="inlineStr">
        <is>
          <t>84.0</t>
        </is>
      </c>
      <c r="H88" t="inlineStr">
        <is>
          <t>75.0</t>
        </is>
      </c>
      <c r="I88" t="inlineStr">
        <is>
          <t>0.0</t>
        </is>
      </c>
      <c r="J88" t="inlineStr"/>
      <c r="K88" t="inlineStr">
        <is>
          <t>--</t>
        </is>
      </c>
    </row>
    <row r="89">
      <c r="A89" t="inlineStr"/>
      <c r="B89" t="inlineStr">
        <is>
          <t>88</t>
        </is>
      </c>
      <c r="C89" t="inlineStr">
        <is>
          <t>Mateo Pulcini</t>
        </is>
      </c>
      <c r="D89" t="inlineStr">
        <is>
          <t>+15</t>
        </is>
      </c>
      <c r="E89" t="inlineStr"/>
      <c r="F89" t="inlineStr"/>
      <c r="G89" t="inlineStr">
        <is>
          <t>81.0</t>
        </is>
      </c>
      <c r="H89" t="inlineStr">
        <is>
          <t>78.0</t>
        </is>
      </c>
      <c r="I89" t="inlineStr">
        <is>
          <t>0.0</t>
        </is>
      </c>
      <c r="J89" t="inlineStr"/>
      <c r="K89" t="inlineStr">
        <is>
          <t>--</t>
        </is>
      </c>
    </row>
    <row r="90">
      <c r="A90" t="inlineStr"/>
      <c r="B90" t="inlineStr">
        <is>
          <t>89</t>
        </is>
      </c>
      <c r="C90" t="inlineStr">
        <is>
          <t>Brandon Holtz</t>
        </is>
      </c>
      <c r="D90" t="inlineStr">
        <is>
          <t>+15</t>
        </is>
      </c>
      <c r="E90" t="inlineStr"/>
      <c r="F90" t="inlineStr"/>
      <c r="G90" t="inlineStr">
        <is>
          <t>81.0</t>
        </is>
      </c>
      <c r="H90" t="inlineStr">
        <is>
          <t>78.0</t>
        </is>
      </c>
      <c r="I90" t="inlineStr">
        <is>
          <t>0.0</t>
        </is>
      </c>
      <c r="J90" t="inlineStr"/>
      <c r="K90" t="inlineStr">
        <is>
          <t>--</t>
        </is>
      </c>
    </row>
    <row r="91">
      <c r="A91" t="inlineStr"/>
      <c r="B91" t="inlineStr">
        <is>
          <t>90</t>
        </is>
      </c>
      <c r="C91" t="inlineStr">
        <is>
          <t>Ángel Cabrera</t>
        </is>
      </c>
      <c r="D91" t="inlineStr">
        <is>
          <t>+16</t>
        </is>
      </c>
      <c r="E91" t="inlineStr"/>
      <c r="F91" t="inlineStr"/>
      <c r="G91" t="inlineStr">
        <is>
          <t>79.0</t>
        </is>
      </c>
      <c r="H91" t="inlineStr">
        <is>
          <t>81.0</t>
        </is>
      </c>
      <c r="I91" t="inlineStr">
        <is>
          <t>0.0</t>
        </is>
      </c>
      <c r="J91" t="inlineStr"/>
      <c r="K91" t="inlineStr">
        <is>
          <t>--</t>
        </is>
      </c>
    </row>
    <row r="92">
      <c r="A92" t="inlineStr"/>
      <c r="B92" t="inlineStr">
        <is>
          <t>91</t>
        </is>
      </c>
      <c r="C92" t="inlineStr">
        <is>
          <t>Davis Riley</t>
        </is>
      </c>
      <c r="D92" t="inlineStr">
        <is>
          <t>+18</t>
        </is>
      </c>
      <c r="E92" t="inlineStr"/>
      <c r="F92" t="inlineStr"/>
      <c r="G92" t="inlineStr">
        <is>
          <t>82.0</t>
        </is>
      </c>
      <c r="H92" t="inlineStr">
        <is>
          <t>80.0</t>
        </is>
      </c>
      <c r="I92" t="inlineStr">
        <is>
          <t>0.0</t>
        </is>
      </c>
      <c r="J92" t="inlineStr"/>
      <c r="K92" t="inlineStr">
        <is>
          <t>--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2026-04-06T18:38:51Z</dcterms:created>
  <dcterms:modified xmlns:dcterms="http://purl.org/dc/terms/" xmlns:xsi="http://www.w3.org/2001/XMLSchema-instance" xsi:type="dcterms:W3CDTF">2026-04-13T15:52:12Z</dcterms:modified>
  <cp:lastModifiedBy>Sam Melbye</cp:lastModifiedBy>
</cp:coreProperties>
</file>